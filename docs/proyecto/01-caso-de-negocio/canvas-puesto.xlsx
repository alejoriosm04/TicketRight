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760" tabRatio="720" firstSheet="0" activeTab="0" autoFilterDateGrouping="1"/>
  </bookViews>
  <sheets>
    <sheet name="CANVAS" sheetId="1" state="visible" r:id="rId1"/>
    <sheet name="CÁLCULOS" sheetId="2" state="hidden" r:id="rId2"/>
    <sheet name="sb" sheetId="3" state="hidden" r:id="rId3"/>
  </sheets>
  <externalReferences>
    <externalReference r:id="rId4"/>
  </externalReferences>
  <definedNames>
    <definedName name="AMENAZARAS">CÁLCULOS!$B$15:$B$16</definedName>
    <definedName name="ARRIBA3C">#REF!</definedName>
    <definedName name="ARRIBACANVAS">#REF!</definedName>
    <definedName name="ARRIBACANVASTRES">#REF!</definedName>
    <definedName name="ARRIBAINI">#REF!</definedName>
    <definedName name="BUSCARMES">sb!$E$13:$E$24</definedName>
    <definedName name="CANVAS">#REF!</definedName>
    <definedName name="CANVASCANVAS">#REF!</definedName>
    <definedName name="CANVASDOS">#REF!</definedName>
    <definedName name="CANVASUNO">CANVAS!$A$4:$A$59</definedName>
    <definedName name="CUADROCOMENTADO">#REF!</definedName>
    <definedName name="CUADROUNO">CANVAS!#REF!</definedName>
    <definedName name="INFOCANVASDOS">#REF!</definedName>
    <definedName name="INFOCANVASTRES">#REF!</definedName>
    <definedName name="infotresce">#REF!</definedName>
    <definedName name="InputsBalance_MY">[1]MultiYear!$H$121:$R$126,[1]MultiYear!$H$130:$R$133,[1]MultiYear!$H$137:$R$138,[1]MultiYear!$H$142:$R$142,[1]MultiYear!$H$144:$R$144,[1]MultiYear!$H$151:$R$157,[1]MultiYear!$H$161:$R$162,[1]MultiYear!$H$170:$R$172</definedName>
    <definedName name="InputsIncome_MY">[1]MultiYear!$H$77:$R$78,[1]MultiYear!$H$82:$R$83,[1]MultiYear!$H$89:$R$90,[1]MultiYear!$H$98:$R$99</definedName>
    <definedName name="InputsSCFP_MY">[1]MultiYear!$H$213:$R$213,[1]MultiYear!$H$221:$R$221,[1]MultiYear!$H$226:$R$226,[1]MultiYear!$H$228:$R$228,[1]MultiYear!$H$240:$R$241,[1]MultiYear!$H$243:$R$243,[1]MultiYear!$H$245:$R$245,[1]MultiYear!$H$247:$R$248</definedName>
    <definedName name="INTENSIDAD">CÁLCULOS!$B$8:$B$12</definedName>
    <definedName name="nomeses">sb!$B$13:$B$24</definedName>
    <definedName name="NUMES">sb!$D$13:$D$24</definedName>
    <definedName name="POSITION">CÁLCULOS!$B$19:$B$22</definedName>
    <definedName name="ARRIBA3C" localSheetId="0">CANVAS!#REF!</definedName>
    <definedName name="ARRIBACANVAS" localSheetId="0">CANVAS!#REF!</definedName>
    <definedName name="CUADROCOMENTADO" localSheetId="0">CANVAS!#REF!</definedName>
    <definedName name="infotresce" localSheetId="0">CANVAS!#REF!</definedName>
    <definedName name="_xlnm.Print_Area" localSheetId="0">'CANVAS'!$C$1:$Y$60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C0A]mmm\-yy;@"/>
    <numFmt numFmtId="165" formatCode="[$-F800]dddd\,\ mmmm\ dd\,\ yyyy"/>
  </numFmts>
  <fonts count="19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Verdana"/>
      <family val="2"/>
      <sz val="10"/>
    </font>
    <font>
      <name val="Tahoma"/>
      <family val="2"/>
      <sz val="8"/>
    </font>
    <font>
      <name val="Tahoma"/>
      <family val="2"/>
      <b val="1"/>
      <sz val="12"/>
    </font>
    <font>
      <name val="Tahoma"/>
      <family val="2"/>
      <sz val="11"/>
    </font>
    <font>
      <name val="Tahoma"/>
      <family val="2"/>
      <sz val="10"/>
    </font>
    <font>
      <name val="Verdana"/>
      <family val="2"/>
      <b val="1"/>
      <color indexed="9"/>
      <sz val="12"/>
    </font>
    <font>
      <name val="Tahoma"/>
      <family val="2"/>
      <b val="1"/>
      <color indexed="10"/>
      <sz val="12"/>
    </font>
    <font>
      <name val="Tahoma"/>
      <family val="2"/>
      <b val="1"/>
      <sz val="10"/>
    </font>
    <font>
      <name val="Tahoma"/>
      <family val="2"/>
      <b val="1"/>
      <color indexed="10"/>
      <sz val="11"/>
    </font>
    <font>
      <name val="Arial"/>
      <family val="2"/>
      <color indexed="23"/>
      <sz val="8"/>
    </font>
    <font>
      <name val="Tahoma"/>
      <family val="2"/>
      <b val="1"/>
      <color theme="0"/>
      <sz val="14"/>
    </font>
    <font>
      <name val="Tahoma"/>
      <family val="2"/>
      <color theme="0"/>
      <sz val="12"/>
    </font>
    <font>
      <name val="Calibri"/>
      <family val="2"/>
      <b val="1"/>
      <sz val="14"/>
      <scheme val="minor"/>
    </font>
    <font>
      <name val="Calibri"/>
      <family val="2"/>
      <sz val="14"/>
      <scheme val="minor"/>
    </font>
    <font>
      <name val="Calibri"/>
      <family val="2"/>
      <b val="1"/>
      <sz val="18"/>
      <scheme val="minor"/>
    </font>
    <font>
      <name val="Calibri"/>
      <family val="2"/>
      <b val="1"/>
      <sz val="20"/>
      <scheme val="minor"/>
    </font>
  </fonts>
  <fills count="12">
    <fill>
      <patternFill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6" tint="-0.499984740745262"/>
        <bgColor theme="6" tint="-0.499984740745262"/>
      </patternFill>
    </fill>
    <fill>
      <patternFill patternType="solid">
        <fgColor theme="2" tint="-0.499984740745262"/>
        <bgColor theme="2" tint="-0.499984740745262"/>
      </patternFill>
    </fill>
    <fill>
      <patternFill patternType="solid">
        <fgColor theme="6" tint="0.3999450666829432"/>
        <bgColor theme="6" tint="0.3999450666829432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7999816888943144"/>
        <bgColor rgb="FFEBF1D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theme="2" tint="-0.09997863704336681"/>
        <bgColor rgb="FFEBF1DE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-0.499984740745262"/>
      </left>
      <right style="thin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6" tint="-0.249946592608417"/>
      </left>
      <right style="thin">
        <color theme="6" tint="-0.249946592608417"/>
      </right>
      <top style="thin">
        <color theme="6" tint="-0.249946592608417"/>
      </top>
      <bottom style="thin">
        <color theme="6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3499862666707358"/>
      </left>
      <right/>
      <top/>
      <bottom/>
      <diagonal/>
    </border>
    <border>
      <left/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 style="thin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thin">
        <color theme="0" tint="-0.3499862666707358"/>
      </left>
      <right/>
      <top style="medium">
        <color indexed="64"/>
      </top>
      <bottom/>
      <diagonal/>
    </border>
    <border>
      <left style="medium">
        <color theme="0" tint="-0.499984740745262"/>
      </left>
      <right/>
      <top style="medium">
        <color indexed="64"/>
      </top>
      <bottom/>
      <diagonal/>
    </border>
    <border>
      <left/>
      <right style="medium">
        <color theme="0" tint="-0.499984740745262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 style="medium">
        <color indexed="64"/>
      </bottom>
      <diagonal/>
    </border>
    <border>
      <left style="thin">
        <color theme="0" tint="-0.3499862666707358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3" borderId="0"/>
    <xf numFmtId="0" fontId="13" fillId="4" borderId="21" applyAlignment="1">
      <alignment horizontal="center" vertical="center"/>
    </xf>
    <xf numFmtId="0" fontId="14" fillId="5" borderId="22" applyAlignment="1">
      <alignment horizontal="center" vertical="center"/>
    </xf>
    <xf numFmtId="0" fontId="5" fillId="6" borderId="23" applyAlignment="1">
      <alignment vertical="center"/>
    </xf>
  </cellStyleXfs>
  <cellXfs count="131">
    <xf numFmtId="0" fontId="0" fillId="0" borderId="0" pivotButton="0" quotePrefix="0" xfId="0"/>
    <xf numFmtId="0" fontId="7" fillId="0" borderId="1" pivotButton="0" quotePrefix="0" xfId="0"/>
    <xf numFmtId="0" fontId="9" fillId="0" borderId="2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4" pivotButton="0" quotePrefix="0" xfId="0"/>
    <xf numFmtId="0" fontId="7" fillId="0" borderId="0" pivotButton="0" quotePrefix="0" xfId="0"/>
    <xf numFmtId="0" fontId="7" fillId="0" borderId="5" pivotButton="0" quotePrefix="0" xfId="0"/>
    <xf numFmtId="0" fontId="4" fillId="0" borderId="4" pivotButton="0" quotePrefix="0" xfId="0"/>
    <xf numFmtId="0" fontId="7" fillId="0" borderId="6" pivotButton="0" quotePrefix="0" xfId="0"/>
    <xf numFmtId="0" fontId="7" fillId="0" borderId="0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7" fillId="0" borderId="15" pivotButton="0" quotePrefix="0" xfId="0"/>
    <xf numFmtId="0" fontId="7" fillId="0" borderId="16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2" pivotButton="0" quotePrefix="0" xfId="0"/>
    <xf numFmtId="0" fontId="0" fillId="0" borderId="1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7" borderId="0" pivotButton="0" quotePrefix="0" xfId="0"/>
    <xf numFmtId="0" fontId="1" fillId="7" borderId="0" pivotButton="0" quotePrefix="0" xfId="0"/>
    <xf numFmtId="0" fontId="0" fillId="3" borderId="9" pivotButton="0" quotePrefix="0" xfId="1"/>
    <xf numFmtId="0" fontId="0" fillId="3" borderId="10" applyAlignment="1" pivotButton="0" quotePrefix="0" xfId="1">
      <alignment horizontal="center" vertical="center"/>
    </xf>
    <xf numFmtId="0" fontId="0" fillId="3" borderId="11" applyAlignment="1" pivotButton="0" quotePrefix="0" xfId="1">
      <alignment horizontal="center"/>
    </xf>
    <xf numFmtId="0" fontId="0" fillId="3" borderId="11" applyAlignment="1" pivotButton="0" quotePrefix="0" xfId="1">
      <alignment horizontal="center" vertical="center"/>
    </xf>
    <xf numFmtId="0" fontId="1" fillId="3" borderId="9" pivotButton="0" quotePrefix="0" xfId="1"/>
    <xf numFmtId="0" fontId="0" fillId="7" borderId="33" pivotButton="0" quotePrefix="0" xfId="0"/>
    <xf numFmtId="0" fontId="0" fillId="8" borderId="0" pivotButton="0" quotePrefix="0" xfId="1"/>
    <xf numFmtId="164" fontId="0" fillId="0" borderId="0" pivotButton="0" quotePrefix="0" xfId="0"/>
    <xf numFmtId="14" fontId="0" fillId="0" borderId="0" pivotButton="0" quotePrefix="0" xfId="0"/>
    <xf numFmtId="0" fontId="15" fillId="9" borderId="0" applyAlignment="1" applyProtection="1" pivotButton="0" quotePrefix="0" xfId="0">
      <alignment horizontal="center" wrapText="1"/>
      <protection locked="0" hidden="0"/>
    </xf>
    <xf numFmtId="0" fontId="16" fillId="9" borderId="27" applyAlignment="1" applyProtection="1" pivotButton="0" quotePrefix="0" xfId="0">
      <alignment wrapText="1"/>
      <protection locked="0" hidden="0"/>
    </xf>
    <xf numFmtId="0" fontId="16" fillId="9" borderId="0" applyAlignment="1" applyProtection="1" pivotButton="0" quotePrefix="0" xfId="0">
      <alignment wrapText="1"/>
      <protection locked="0" hidden="0"/>
    </xf>
    <xf numFmtId="0" fontId="16" fillId="9" borderId="25" applyAlignment="1" applyProtection="1" pivotButton="0" quotePrefix="0" xfId="0">
      <alignment wrapText="1"/>
      <protection locked="0" hidden="0"/>
    </xf>
    <xf numFmtId="0" fontId="16" fillId="9" borderId="36" applyAlignment="1" applyProtection="1" pivotButton="0" quotePrefix="0" xfId="0">
      <alignment wrapText="1"/>
      <protection locked="0" hidden="0"/>
    </xf>
    <xf numFmtId="0" fontId="16" fillId="9" borderId="0" applyAlignment="1" applyProtection="1" pivotButton="0" quotePrefix="0" xfId="0">
      <alignment horizontal="center" wrapText="1"/>
      <protection locked="0" hidden="0"/>
    </xf>
    <xf numFmtId="0" fontId="16" fillId="11" borderId="24" pivotButton="0" quotePrefix="0" xfId="1"/>
    <xf numFmtId="0" fontId="16" fillId="10" borderId="35" applyProtection="1" pivotButton="0" quotePrefix="0" xfId="1">
      <protection locked="0" hidden="0"/>
    </xf>
    <xf numFmtId="0" fontId="16" fillId="0" borderId="0" pivotButton="0" quotePrefix="0" xfId="0"/>
    <xf numFmtId="0" fontId="16" fillId="9" borderId="30" applyAlignment="1" applyProtection="1" pivotButton="0" quotePrefix="0" xfId="0">
      <alignment wrapText="1"/>
      <protection locked="0" hidden="0"/>
    </xf>
    <xf numFmtId="0" fontId="16" fillId="9" borderId="31" applyAlignment="1" applyProtection="1" pivotButton="0" quotePrefix="0" xfId="0">
      <alignment wrapText="1"/>
      <protection locked="0" hidden="0"/>
    </xf>
    <xf numFmtId="0" fontId="16" fillId="9" borderId="34" applyAlignment="1" applyProtection="1" pivotButton="0" quotePrefix="0" xfId="0">
      <alignment wrapText="1"/>
      <protection locked="0" hidden="0"/>
    </xf>
    <xf numFmtId="0" fontId="16" fillId="9" borderId="37" applyAlignment="1" applyProtection="1" pivotButton="0" quotePrefix="0" xfId="0">
      <alignment wrapText="1"/>
      <protection locked="0" hidden="0"/>
    </xf>
    <xf numFmtId="0" fontId="16" fillId="9" borderId="28" applyAlignment="1" applyProtection="1" pivotButton="0" quotePrefix="0" xfId="0">
      <alignment wrapText="1"/>
      <protection locked="0" hidden="0"/>
    </xf>
    <xf numFmtId="0" fontId="16" fillId="9" borderId="29" applyAlignment="1" applyProtection="1" pivotButton="0" quotePrefix="0" xfId="0">
      <alignment wrapText="1"/>
      <protection locked="0" hidden="0"/>
    </xf>
    <xf numFmtId="0" fontId="16" fillId="9" borderId="32" applyAlignment="1" applyProtection="1" pivotButton="0" quotePrefix="0" xfId="0">
      <alignment wrapText="1"/>
      <protection locked="0" hidden="0"/>
    </xf>
    <xf numFmtId="0" fontId="16" fillId="9" borderId="32" applyAlignment="1" applyProtection="1" pivotButton="0" quotePrefix="0" xfId="0">
      <alignment horizontal="center" wrapText="1"/>
      <protection locked="0" hidden="0"/>
    </xf>
    <xf numFmtId="0" fontId="16" fillId="9" borderId="27" applyAlignment="1" applyProtection="1" pivotButton="0" quotePrefix="0" xfId="0">
      <alignment vertical="center" wrapText="1"/>
      <protection locked="0" hidden="0"/>
    </xf>
    <xf numFmtId="0" fontId="16" fillId="9" borderId="0" applyAlignment="1" applyProtection="1" pivotButton="0" quotePrefix="0" xfId="0">
      <alignment vertical="center" wrapText="1"/>
      <protection locked="0" hidden="0"/>
    </xf>
    <xf numFmtId="0" fontId="16" fillId="9" borderId="36" applyAlignment="1" applyProtection="1" pivotButton="0" quotePrefix="0" xfId="0">
      <alignment vertical="center" wrapText="1"/>
      <protection locked="0" hidden="0"/>
    </xf>
    <xf numFmtId="0" fontId="16" fillId="9" borderId="37" applyAlignment="1" applyProtection="1" pivotButton="0" quotePrefix="0" xfId="0">
      <alignment vertical="center" wrapText="1"/>
      <protection locked="0" hidden="0"/>
    </xf>
    <xf numFmtId="0" fontId="16" fillId="9" borderId="25" applyAlignment="1" applyProtection="1" pivotButton="0" quotePrefix="0" xfId="0">
      <alignment vertical="center" wrapText="1"/>
      <protection locked="0" hidden="0"/>
    </xf>
    <xf numFmtId="0" fontId="16" fillId="9" borderId="38" applyAlignment="1" applyProtection="1" pivotButton="0" quotePrefix="0" xfId="0">
      <alignment wrapText="1"/>
      <protection locked="0" hidden="0"/>
    </xf>
    <xf numFmtId="0" fontId="16" fillId="9" borderId="40" applyAlignment="1" applyProtection="1" pivotButton="0" quotePrefix="0" xfId="0">
      <alignment wrapText="1"/>
      <protection locked="0" hidden="0"/>
    </xf>
    <xf numFmtId="0" fontId="16" fillId="9" borderId="1" applyProtection="1" pivotButton="0" quotePrefix="0" xfId="0">
      <protection locked="0" hidden="0"/>
    </xf>
    <xf numFmtId="0" fontId="16" fillId="9" borderId="2" applyAlignment="1" applyProtection="1" pivotButton="0" quotePrefix="0" xfId="0">
      <alignment wrapText="1"/>
      <protection locked="0" hidden="0"/>
    </xf>
    <xf numFmtId="0" fontId="16" fillId="9" borderId="41" applyAlignment="1" applyProtection="1" pivotButton="0" quotePrefix="0" xfId="0">
      <alignment wrapText="1"/>
      <protection locked="0" hidden="0"/>
    </xf>
    <xf numFmtId="0" fontId="16" fillId="9" borderId="42" applyAlignment="1" applyProtection="1" pivotButton="0" quotePrefix="0" xfId="0">
      <alignment wrapText="1"/>
      <protection locked="0" hidden="0"/>
    </xf>
    <xf numFmtId="0" fontId="16" fillId="9" borderId="43" applyAlignment="1" applyProtection="1" pivotButton="0" quotePrefix="0" xfId="0">
      <alignment wrapText="1"/>
      <protection locked="0" hidden="0"/>
    </xf>
    <xf numFmtId="0" fontId="16" fillId="9" borderId="44" applyAlignment="1" applyProtection="1" pivotButton="0" quotePrefix="0" xfId="0">
      <alignment wrapText="1"/>
      <protection locked="0" hidden="0"/>
    </xf>
    <xf numFmtId="0" fontId="16" fillId="9" borderId="3" applyProtection="1" pivotButton="0" quotePrefix="0" xfId="0">
      <protection locked="0" hidden="0"/>
    </xf>
    <xf numFmtId="0" fontId="16" fillId="9" borderId="4" applyProtection="1" pivotButton="0" quotePrefix="0" xfId="0">
      <protection locked="0" hidden="0"/>
    </xf>
    <xf numFmtId="0" fontId="16" fillId="9" borderId="5" applyProtection="1" pivotButton="0" quotePrefix="0" xfId="0">
      <protection locked="0" hidden="0"/>
    </xf>
    <xf numFmtId="0" fontId="16" fillId="9" borderId="46" applyProtection="1" pivotButton="0" quotePrefix="0" xfId="0">
      <protection locked="0" hidden="0"/>
    </xf>
    <xf numFmtId="0" fontId="16" fillId="9" borderId="47" applyProtection="1" pivotButton="0" quotePrefix="0" xfId="0">
      <protection locked="0" hidden="0"/>
    </xf>
    <xf numFmtId="0" fontId="16" fillId="9" borderId="48" applyProtection="1" pivotButton="0" quotePrefix="0" xfId="0">
      <protection locked="0" hidden="0"/>
    </xf>
    <xf numFmtId="0" fontId="16" fillId="9" borderId="14" applyProtection="1" pivotButton="0" quotePrefix="0" xfId="0">
      <protection locked="0" hidden="0"/>
    </xf>
    <xf numFmtId="0" fontId="16" fillId="9" borderId="15" applyAlignment="1" applyProtection="1" pivotButton="0" quotePrefix="0" xfId="0">
      <alignment wrapText="1"/>
      <protection locked="0" hidden="0"/>
    </xf>
    <xf numFmtId="0" fontId="16" fillId="9" borderId="16" applyProtection="1" pivotButton="0" quotePrefix="0" xfId="0">
      <protection locked="0" hidden="0"/>
    </xf>
    <xf numFmtId="0" fontId="16" fillId="9" borderId="0" applyAlignment="1" applyProtection="1" pivotButton="0" quotePrefix="0" xfId="0">
      <alignment vertical="top" wrapText="1"/>
      <protection locked="0" hidden="0"/>
    </xf>
    <xf numFmtId="0" fontId="16" fillId="9" borderId="4" applyAlignment="1" applyProtection="1" pivotButton="0" quotePrefix="0" xfId="0">
      <alignment vertical="top" wrapText="1"/>
      <protection locked="0" hidden="0"/>
    </xf>
    <xf numFmtId="0" fontId="16" fillId="9" borderId="45" applyAlignment="1" applyProtection="1" pivotButton="0" quotePrefix="0" xfId="0">
      <alignment vertical="top" wrapText="1"/>
      <protection locked="0" hidden="0"/>
    </xf>
    <xf numFmtId="0" fontId="16" fillId="0" borderId="1" pivotButton="0" quotePrefix="0" xfId="0"/>
    <xf numFmtId="0" fontId="16" fillId="0" borderId="2" pivotButton="0" quotePrefix="0" xfId="0"/>
    <xf numFmtId="0" fontId="16" fillId="0" borderId="3" pivotButton="0" quotePrefix="0" xfId="0"/>
    <xf numFmtId="0" fontId="16" fillId="0" borderId="4" pivotButton="0" quotePrefix="0" xfId="0"/>
    <xf numFmtId="0" fontId="16" fillId="0" borderId="5" pivotButton="0" quotePrefix="0" xfId="0"/>
    <xf numFmtId="0" fontId="16" fillId="9" borderId="15" applyProtection="1" pivotButton="0" quotePrefix="0" xfId="0">
      <protection locked="0" hidden="0"/>
    </xf>
    <xf numFmtId="0" fontId="15" fillId="0" borderId="0" pivotButton="0" quotePrefix="0" xfId="0"/>
    <xf numFmtId="0" fontId="17" fillId="9" borderId="0" applyAlignment="1" applyProtection="1" pivotButton="0" quotePrefix="0" xfId="0">
      <alignment horizontal="center" wrapText="1"/>
      <protection locked="0" hidden="0"/>
    </xf>
    <xf numFmtId="0" fontId="17" fillId="9" borderId="0" applyAlignment="1" applyProtection="1" pivotButton="0" quotePrefix="0" xfId="0">
      <alignment horizontal="center" vertical="center" wrapText="1"/>
      <protection locked="0" hidden="0"/>
    </xf>
    <xf numFmtId="0" fontId="16" fillId="0" borderId="51" pivotButton="0" quotePrefix="0" xfId="0"/>
    <xf numFmtId="0" fontId="16" fillId="0" borderId="10" pivotButton="0" quotePrefix="0" xfId="0"/>
    <xf numFmtId="0" fontId="16" fillId="9" borderId="52" applyProtection="1" pivotButton="0" quotePrefix="0" xfId="0">
      <protection locked="0" hidden="0"/>
    </xf>
    <xf numFmtId="0" fontId="16" fillId="10" borderId="0" applyProtection="1" pivotButton="0" quotePrefix="0" xfId="1">
      <protection locked="0" hidden="0"/>
    </xf>
    <xf numFmtId="0" fontId="18" fillId="0" borderId="0" pivotButton="0" quotePrefix="0" xfId="0"/>
    <xf numFmtId="0" fontId="16" fillId="9" borderId="0" applyAlignment="1" applyProtection="1" pivotButton="0" quotePrefix="0" xfId="0">
      <alignment horizontal="left" vertical="top" wrapText="1"/>
      <protection locked="0" hidden="0"/>
    </xf>
    <xf numFmtId="0" fontId="16" fillId="9" borderId="27" applyAlignment="1" applyProtection="1" pivotButton="0" quotePrefix="0" xfId="0">
      <alignment horizontal="left" vertical="top" wrapText="1"/>
      <protection locked="0" hidden="0"/>
    </xf>
    <xf numFmtId="0" fontId="16" fillId="9" borderId="15" applyAlignment="1" applyProtection="1" pivotButton="0" quotePrefix="0" xfId="0">
      <alignment horizontal="left" vertical="top" wrapText="1"/>
      <protection locked="0" hidden="0"/>
    </xf>
    <xf numFmtId="0" fontId="16" fillId="9" borderId="49" applyAlignment="1" applyProtection="1" pivotButton="0" quotePrefix="0" xfId="0">
      <alignment horizontal="left" vertical="top" wrapText="1"/>
      <protection locked="0" hidden="0"/>
    </xf>
    <xf numFmtId="0" fontId="16" fillId="9" borderId="25" applyAlignment="1" applyProtection="1" pivotButton="0" quotePrefix="0" xfId="0">
      <alignment horizontal="left" vertical="top" wrapText="1"/>
      <protection locked="0" hidden="0"/>
    </xf>
    <xf numFmtId="0" fontId="16" fillId="9" borderId="50" applyAlignment="1" applyProtection="1" pivotButton="0" quotePrefix="0" xfId="0">
      <alignment horizontal="left" vertical="top" wrapText="1"/>
      <protection locked="0" hidden="0"/>
    </xf>
    <xf numFmtId="0" fontId="16" fillId="9" borderId="26" applyAlignment="1" applyProtection="1" pivotButton="0" quotePrefix="0" xfId="0">
      <alignment horizontal="left" vertical="top" wrapText="1"/>
      <protection locked="0" hidden="0"/>
    </xf>
    <xf numFmtId="0" fontId="17" fillId="9" borderId="25" applyAlignment="1" applyProtection="1" pivotButton="0" quotePrefix="0" xfId="0">
      <alignment horizontal="center" wrapText="1"/>
      <protection locked="0" hidden="0"/>
    </xf>
    <xf numFmtId="0" fontId="17" fillId="9" borderId="0" applyAlignment="1" applyProtection="1" pivotButton="0" quotePrefix="0" xfId="0">
      <alignment horizontal="center" wrapText="1"/>
      <protection locked="0" hidden="0"/>
    </xf>
    <xf numFmtId="0" fontId="16" fillId="9" borderId="39" applyAlignment="1" applyProtection="1" pivotButton="0" quotePrefix="0" xfId="0">
      <alignment horizontal="left" vertical="top" wrapText="1"/>
      <protection locked="0" hidden="0"/>
    </xf>
    <xf numFmtId="0" fontId="17" fillId="9" borderId="27" applyAlignment="1" applyProtection="1" pivotButton="0" quotePrefix="0" xfId="0">
      <alignment horizontal="center" wrapText="1"/>
      <protection locked="0" hidden="0"/>
    </xf>
    <xf numFmtId="0" fontId="8" fillId="2" borderId="0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20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0" fontId="7" fillId="0" borderId="18" applyAlignment="1" pivotButton="0" quotePrefix="0" xfId="0">
      <alignment horizontal="center"/>
    </xf>
    <xf numFmtId="165" fontId="12" fillId="0" borderId="0" applyAlignment="1" applyProtection="1" pivotButton="0" quotePrefix="0" xfId="0">
      <alignment horizontal="center"/>
      <protection locked="0" hidden="0"/>
    </xf>
    <xf numFmtId="0" fontId="15" fillId="0" borderId="0" pivotButton="0" quotePrefix="0" xfId="0"/>
    <xf numFmtId="0" fontId="7" fillId="0" borderId="33" applyAlignment="1" pivotButton="0" quotePrefix="0" xfId="0">
      <alignment horizontal="center"/>
    </xf>
    <xf numFmtId="0" fontId="0" fillId="0" borderId="26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164" fontId="0" fillId="0" borderId="0" pivotButton="0" quotePrefix="0" xfId="0"/>
    <xf numFmtId="0" fontId="7" fillId="0" borderId="53" applyAlignment="1" pivotButton="0" quotePrefix="0" xfId="0">
      <alignment horizontal="center"/>
    </xf>
    <xf numFmtId="0" fontId="0" fillId="0" borderId="20" pivotButton="0" quotePrefix="0" xfId="0"/>
    <xf numFmtId="0" fontId="0" fillId="0" borderId="17" pivotButton="0" quotePrefix="0" xfId="0"/>
    <xf numFmtId="0" fontId="0" fillId="0" borderId="18" pivotButton="0" quotePrefix="0" xfId="0"/>
    <xf numFmtId="165" fontId="12" fillId="0" borderId="0" applyAlignment="1" applyProtection="1" pivotButton="0" quotePrefix="0" xfId="0">
      <alignment horizontal="center"/>
      <protection locked="0" hidden="0"/>
    </xf>
  </cellXfs>
  <cellStyles count="5">
    <cellStyle name="Normal" xfId="0" builtinId="0"/>
    <cellStyle name="FONS" xfId="1"/>
    <cellStyle name="Títol1" xfId="2"/>
    <cellStyle name="Títol2" xfId="3"/>
    <cellStyle name="Titol 3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409575</colOff>
      <row>39</row>
      <rowOff>9525</rowOff>
    </from>
    <to>
      <col>3</col>
      <colOff>457200</colOff>
      <row>43</row>
      <rowOff>133350</rowOff>
    </to>
    <pic>
      <nvPicPr>
        <cNvPr id="20484" name="Picture 4" descr="attention_niels_epting_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933575" y="1143000"/>
          <a:ext cx="809625" cy="771525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5</col>
      <colOff>742950</colOff>
      <row>50</row>
      <rowOff>85725</rowOff>
    </from>
    <to>
      <col>6</col>
      <colOff>733425</colOff>
      <row>52</row>
      <rowOff>38100</rowOff>
    </to>
    <pic>
      <nvPicPr>
        <cNvPr id="20485" name="Picture 5" descr="EDITOR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552950" y="3000375"/>
          <a:ext cx="752475" cy="276225"/>
        </a:xfrm>
        <a:prstGeom prst="rect">
          <avLst/>
        </a:prstGeom>
        <a:noFill/>
        <a:ln w="9525">
          <a:solidFill>
            <a:srgbClr val="C0C0C0"/>
          </a:solidFill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Documents%20and%20Settings/Anton%20M%20Dunyo%20Esteve/Mis%20documentos/E-DITOR%20ANTERIOR%20Y%20ALTRES/PRODUCTES%20ENTREGATS/2%20EXCEL/PE101%20Pto%20Equilibrio/FinancialMetricsPro_201_13657647.xls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UserGuide"/>
      <sheetName val="CashFlow"/>
      <sheetName val="CumulativeCF"/>
      <sheetName val="Payback"/>
      <sheetName val="ROI"/>
      <sheetName val="NPV"/>
      <sheetName val="Compounding"/>
      <sheetName val="CAGR"/>
      <sheetName val="IRR"/>
      <sheetName val="Breakeven"/>
      <sheetName val="Income"/>
      <sheetName val="Balance"/>
      <sheetName val="FinCashFlow"/>
      <sheetName val="Retained"/>
      <sheetName val="FSAnalysis"/>
      <sheetName val="Liquidity"/>
      <sheetName val="Activity"/>
      <sheetName val="Leverage"/>
      <sheetName val="Profitability"/>
      <sheetName val="Valuation"/>
      <sheetName val="MultiYear"/>
      <sheetName val="Growth"/>
      <sheetName val="DuP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ables/table1.xml><?xml version="1.0" encoding="utf-8"?>
<table xmlns="http://schemas.openxmlformats.org/spreadsheetml/2006/main" id="1" name="Lista1" displayName="Lista1_1" ref="B12:B24" headerRowCount="1" totalsRowShown="0">
  <autoFilter ref="B12:B24"/>
  <tableColumns count="1">
    <tableColumn id="1" name="nomes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tabColor theme="6" tint="-0.499984740745262"/>
    <outlinePr summaryBelow="1" summaryRight="1"/>
    <pageSetUpPr fitToPage="1"/>
  </sheetPr>
  <dimension ref="B2:Y59"/>
  <sheetViews>
    <sheetView showGridLines="0" tabSelected="1" topLeftCell="C1" zoomScale="70" zoomScaleNormal="70" zoomScaleSheetLayoutView="40" zoomScalePageLayoutView="55" workbookViewId="0">
      <selection activeCell="O43" sqref="O43:W59"/>
    </sheetView>
  </sheetViews>
  <sheetFormatPr baseColWidth="8" defaultColWidth="11.42578125" defaultRowHeight="18.6"/>
  <cols>
    <col hidden="1" collapsed="1" style="51" min="1" max="2"/>
    <col collapsed="1" width="1.42578125" customWidth="1" style="51" min="3" max="3"/>
    <col collapsed="1" width="0.85546875" customWidth="1" style="51" min="4" max="4"/>
    <col collapsed="1" width="32.5703125" customWidth="1" style="51" min="5" max="5"/>
    <col collapsed="1" width="0.85546875" customWidth="1" style="51" min="6" max="6"/>
    <col collapsed="1" width="0.5703125" customWidth="1" style="51" min="7" max="7"/>
    <col collapsed="1" width="0.85546875" customWidth="1" style="51" min="8" max="8"/>
    <col collapsed="1" width="32.5703125" customWidth="1" style="51" min="9" max="9"/>
    <col collapsed="1" width="0.85546875" customWidth="1" style="51" min="10" max="10"/>
    <col collapsed="1" width="0.5703125" customWidth="1" style="51" min="11" max="11"/>
    <col collapsed="1" width="0.85546875" customWidth="1" style="51" min="12" max="12"/>
    <col collapsed="1" width="16.5703125" customWidth="1" style="51" min="13" max="13"/>
    <col collapsed="1" width="0.5703125" customWidth="1" style="51" min="14" max="14"/>
    <col collapsed="1" width="16.5703125" customWidth="1" style="51" min="15" max="15"/>
    <col collapsed="1" width="0.85546875" customWidth="1" style="51" min="16" max="16"/>
    <col collapsed="1" width="0.5703125" customWidth="1" style="51" min="17" max="17"/>
    <col collapsed="1" width="0.85546875" customWidth="1" style="51" min="18" max="18"/>
    <col collapsed="1" width="32.5703125" customWidth="1" style="51" min="19" max="19"/>
    <col collapsed="1" width="0.85546875" customWidth="1" style="51" min="20" max="20"/>
    <col collapsed="1" width="0.5703125" customWidth="1" style="51" min="21" max="21"/>
    <col collapsed="1" width="0.85546875" customWidth="1" style="51" min="22" max="22"/>
    <col collapsed="1" width="32.5703125" customWidth="1" style="51" min="23" max="23"/>
    <col collapsed="1" width="1.42578125" customWidth="1" style="51" min="24" max="25"/>
    <col collapsed="1" width="11.42578125" customWidth="1" style="51" min="26" max="26"/>
    <col width="11.42578125" customWidth="1" style="51" min="27" max="29"/>
    <col collapsed="1" width="11.42578125" customWidth="1" style="51" min="30" max="16384"/>
  </cols>
  <sheetData>
    <row r="1" ht="18.95" customHeight="1" thickBot="1"/>
    <row r="2">
      <c r="D2" s="85" t="n"/>
      <c r="E2" s="86" t="n"/>
      <c r="F2" s="86" t="n"/>
      <c r="G2" s="94" t="n"/>
      <c r="H2" s="86" t="n"/>
      <c r="I2" s="86" t="n"/>
      <c r="J2" s="86" t="n"/>
      <c r="K2" s="86" t="n"/>
      <c r="L2" s="86" t="n"/>
      <c r="M2" s="86" t="n"/>
      <c r="N2" s="86" t="n"/>
      <c r="O2" s="86" t="n"/>
      <c r="P2" s="86" t="n"/>
      <c r="Q2" s="86" t="n"/>
      <c r="R2" s="86" t="n"/>
      <c r="S2" s="86" t="n"/>
      <c r="T2" s="86" t="n"/>
      <c r="U2" s="86" t="n"/>
      <c r="V2" s="86" t="n"/>
      <c r="W2" s="86" t="n"/>
      <c r="X2" s="87" t="n"/>
    </row>
    <row r="3" ht="26.1" customHeight="1">
      <c r="D3" s="88" t="n"/>
      <c r="E3" s="98" t="inlineStr">
        <is>
          <t>MODELO CANVAS</t>
        </is>
      </c>
      <c r="G3" s="95" t="n"/>
      <c r="I3" s="116" t="inlineStr">
        <is>
          <t>NEGOCIO:  Puesto — boletería para eventos de alta demanda</t>
        </is>
      </c>
      <c r="O3" s="116" t="inlineStr">
        <is>
          <t>NOMBRE:  Alejo Ríos · Lina · Quinnie</t>
        </is>
      </c>
      <c r="W3" s="116" t="inlineStr">
        <is>
          <t>FECHA:  2026-09-12</t>
        </is>
      </c>
      <c r="X3" s="89" t="n"/>
    </row>
    <row r="4" ht="24" customHeight="1" thickBot="1">
      <c r="B4" s="49" t="n"/>
      <c r="C4" s="97" t="n"/>
      <c r="D4" s="79" t="n"/>
      <c r="E4" s="90" t="n"/>
      <c r="F4" s="90" t="n"/>
      <c r="G4" s="96" t="n"/>
      <c r="H4" s="90" t="n"/>
      <c r="I4" s="90" t="n"/>
      <c r="J4" s="90" t="n"/>
      <c r="K4" s="90" t="n"/>
      <c r="L4" s="90" t="n"/>
      <c r="M4" s="90" t="n"/>
      <c r="N4" s="90" t="n"/>
      <c r="O4" s="90" t="n"/>
      <c r="P4" s="90" t="n"/>
      <c r="Q4" s="90" t="n"/>
      <c r="R4" s="90" t="n"/>
      <c r="S4" s="90" t="n"/>
      <c r="T4" s="90" t="n"/>
      <c r="U4" s="90" t="n"/>
      <c r="V4" s="90" t="n"/>
      <c r="W4" s="90" t="n"/>
      <c r="X4" s="81" t="n"/>
      <c r="Y4" s="50" t="n"/>
    </row>
    <row r="5">
      <c r="B5" s="49" t="n"/>
      <c r="C5" s="97" t="n"/>
      <c r="D5" s="67" t="n"/>
      <c r="E5" s="68" t="n"/>
      <c r="F5" s="69" t="n"/>
      <c r="G5" s="68" t="n"/>
      <c r="H5" s="70" t="n"/>
      <c r="I5" s="68" t="n"/>
      <c r="J5" s="69" t="n"/>
      <c r="K5" s="68" t="n"/>
      <c r="L5" s="71" t="n"/>
      <c r="M5" s="68" t="n"/>
      <c r="N5" s="68" t="n"/>
      <c r="O5" s="68" t="n"/>
      <c r="P5" s="72" t="n"/>
      <c r="Q5" s="68" t="n"/>
      <c r="R5" s="70" t="n"/>
      <c r="S5" s="68" t="n"/>
      <c r="T5" s="69" t="n"/>
      <c r="U5" s="68" t="n"/>
      <c r="V5" s="70" t="n"/>
      <c r="W5" s="68" t="n"/>
      <c r="X5" s="73" t="n"/>
      <c r="Y5" s="50" t="n"/>
    </row>
    <row r="6" ht="23.45" customHeight="1">
      <c r="B6" s="49" t="n"/>
      <c r="C6" s="97" t="n"/>
      <c r="D6" s="74" t="n"/>
      <c r="E6" s="107" t="inlineStr">
        <is>
          <t>Asociaciones clave</t>
        </is>
      </c>
      <c r="F6" s="44" t="n"/>
      <c r="G6" s="45" t="n"/>
      <c r="H6" s="46" t="n"/>
      <c r="I6" s="107" t="inlineStr">
        <is>
          <t>Actividades clave</t>
        </is>
      </c>
      <c r="J6" s="44" t="n"/>
      <c r="K6" s="45" t="n"/>
      <c r="L6" s="47" t="n"/>
      <c r="M6" s="107" t="inlineStr">
        <is>
          <t>Propuesta de valor</t>
        </is>
      </c>
      <c r="N6" s="31" t="n"/>
      <c r="O6" s="31" t="n"/>
      <c r="P6" s="55" t="n"/>
      <c r="Q6" s="48" t="n"/>
      <c r="R6" s="46" t="n"/>
      <c r="S6" s="107" t="inlineStr">
        <is>
          <t>Relación cliente</t>
        </is>
      </c>
      <c r="T6" s="44" t="n"/>
      <c r="U6" s="45" t="n"/>
      <c r="V6" s="46" t="n"/>
      <c r="W6" s="107" t="inlineStr">
        <is>
          <t>Clientes</t>
        </is>
      </c>
      <c r="X6" s="75" t="n"/>
      <c r="Y6" s="50" t="n"/>
    </row>
    <row r="7" ht="33" customHeight="1">
      <c r="B7" s="49" t="n"/>
      <c r="C7" s="97" t="n"/>
      <c r="D7" s="83" t="n"/>
      <c r="E7" s="82" t="n"/>
      <c r="F7" s="44" t="n"/>
      <c r="G7" s="45" t="n"/>
      <c r="H7" s="46" t="n"/>
      <c r="I7" s="45" t="n"/>
      <c r="J7" s="44" t="n"/>
      <c r="K7" s="45" t="n"/>
      <c r="L7" s="47" t="n"/>
      <c r="M7" s="45" t="n"/>
      <c r="N7" s="45" t="n"/>
      <c r="O7" s="45" t="n"/>
      <c r="P7" s="55" t="n"/>
      <c r="Q7" s="45" t="n"/>
      <c r="R7" s="46" t="n"/>
      <c r="S7" s="45" t="n"/>
      <c r="T7" s="44" t="n"/>
      <c r="U7" s="45" t="n"/>
      <c r="V7" s="46" t="n"/>
      <c r="W7" s="45" t="n"/>
      <c r="X7" s="75" t="n"/>
      <c r="Y7" s="50" t="n"/>
    </row>
    <row r="8">
      <c r="B8" s="49" t="n"/>
      <c r="C8" s="97" t="n"/>
      <c r="D8" s="83" t="n"/>
      <c r="E8" s="105" t="inlineStr">
        <is>
          <t>ASOCIACIONES CLAVE
• PASARELA DE PAGOS (ref. Wompi) — el socio crítico: es el único tercero que puede romper nuestro invariante. Se demora, responde tarde y a veces responde dos veces. Nos cuesta 2,65% + $700 + IVA por transacción = ~90% de nuestro costo variable. [V] tarifa
• PROMOTORES Y RECINTOS — dueños del inventario y responsables del aforo ante la autoridad.
• OPERADOR DEL CONTROL DE ACCESO EN PUERTA — es socio, NO parte de nuestro sistema. Se integra por contrato de eventos: boleta emitida / transferida / anulada.
• PROVEEDOR DE NUBE — capacidad elástica para la ventana de venta, no para el mes.
• VERIFICACIÓN DE IDENTIDAD — habilita la boleta nominal, y con ella la reventa capturada.
• ARTISTA, MANAGEMENT Y ALIADOS DE PREVENTA — no pagan, pero deciden qué plataforma elige el promotor.
NO son socios: PULEP y SIC. Son autoridad.</t>
        </is>
      </c>
      <c r="F8" s="44" t="n"/>
      <c r="G8" s="45" t="n"/>
      <c r="H8" s="46" t="n"/>
      <c r="I8" s="105" t="inlineStr">
        <is>
          <t>ACTIVIDADES CLAVE
Capacidades (estables), no funcionalidades:
1. Custodiar el vínculo entre el dinero y el derecho a entrar.
2. Administrar aforo finito bajo demanda concentrada.
3. Decidir y DEMOSTRAR el orden de atención: la fila es un producto, no plomería.
4. Sostener el ciclo de vida del derecho: emitir, transferir, revender, anular, devolver.
5. Liquidar tres bolsillos sin equivocarse: promotor, Puesto y Estado.
6. Devolverle al promotor los datos que hoy no recibe (Ley 1581).
7. Conseguir y sostener inventario.
Procesos que las realizan: encolar → asignar turno → reservar → cobrar → emitir → transferir/revender → conciliar → liquidar.</t>
        </is>
      </c>
      <c r="J8" s="44" t="n"/>
      <c r="K8" s="45" t="n"/>
      <c r="L8" s="47" t="n"/>
      <c r="M8" s="108" t="inlineStr">
        <is>
          <t>PROPUESTA DE VALOR
Custodiamos el vínculo entre el dinero y el derecho a entrar —incluso cuando la pasarela falla— y le devolvemos al promotor el margen de la reventa y los datos del comprador que hoy se le quedan a la boletera.
AL PROMOTOR (quien firma)
• Ni un peso cobrado sin boleta, ni una boleta sin cobro. Las discrepancias las cierra el sistema, no una mesa de soporte al día siguiente.
• El margen de la reventa vuelve a él.
• Los datos del comprador vuelven a él, con autorización.
• El pico tiene un costo con meta, no «lo que salga».
AL FAN (quien paga el cargo)
• No le quitan la plata sin darle derecho a entrar.
• Compra reventa sin miedo a una boleta falsa.
• Compite bajo reglas de fila publicadas ANTES de abrir la venta.
[V] El líder del mercado tiene pliego de cargos de la SIC (Res. 38063, 4-jun-2026): uno de los cargos es trasladarle el riesgo al promotor con una cláusula abusiva. Es imputación en curso, no condena.</t>
        </is>
      </c>
      <c r="N8" s="31" t="n"/>
      <c r="O8" s="31" t="n"/>
      <c r="P8" s="55" t="n"/>
      <c r="Q8" s="48" t="n"/>
      <c r="R8" s="46" t="n"/>
      <c r="S8" s="105" t="inlineStr">
        <is>
          <t>RELACIÓN CON EL CLIENTE
CON EL FAN — no es una relación de uso continuo: son diez minutos de tensión máxima una o dos veces al año, y silencio el resto.
• Soporte concentrado en la ventana de venta.
• Autoservicio el resto del año.
• La disputa («me cobraron y no tengo boleta») es el momento que define si volvemos a existir para esa persona.
CON EL PROMOTOR — lo contrario: contractual y continua. Configuración del evento, reglas de venta, acompañamiento del pico, reportes y liquidación.
La transferencia y la reventa solo existen si el promotor las habilita para su evento.</t>
        </is>
      </c>
      <c r="T8" s="44" t="n"/>
      <c r="U8" s="45" t="n"/>
      <c r="V8" s="46" t="n"/>
      <c r="W8" s="105" t="inlineStr">
        <is>
          <t>CLIENTES
Plataforma de dos lados: uno firma y el otro genera la carga.
FIRMA Y PAGA — promotores y recintos de eventos de 3.000 a 40.000 asistentes [S]
• Promotora independiente de música en vivo
• Recinto con programación propia (responde por el aforo ante la autoridad)
• Organizador de festival
Los une vender AFORO FIJO EN FECHA FIJA con la demanda concentrada en los primeros minutos.
USA Y PAGA EL CARGO — el fan, segmentado por comportamiento de compra
• El de minuto uno: es el 100% de la carga y del riesgo reputacional
• El del parche: 4-8 boletas, es quien usa la transferencia
• El de última hora: hoy termina en la reventa informal
NO son clientes: el revendedor profesional (es a quien le quitamos el negocio) y los eventos de demanda continua: cine, parques, museos.
[V] Mercado: $1,53 billones en 2023, +22%. El universo de clientes está publicado en el PULEP.</t>
        </is>
      </c>
      <c r="X8" s="75" t="n"/>
      <c r="Y8" s="50" t="n"/>
    </row>
    <row r="9" ht="14.25" customHeight="1">
      <c r="B9" s="49" t="n"/>
      <c r="C9" s="97" t="n"/>
      <c r="D9" s="83" t="n"/>
      <c r="E9" s="31" t="n"/>
      <c r="F9" s="44" t="n"/>
      <c r="G9" s="45" t="n"/>
      <c r="H9" s="46" t="n"/>
      <c r="I9" s="31" t="n"/>
      <c r="J9" s="44" t="n"/>
      <c r="K9" s="45" t="n"/>
      <c r="L9" s="47" t="n"/>
      <c r="M9" s="31" t="n"/>
      <c r="N9" s="31" t="n"/>
      <c r="O9" s="31" t="n"/>
      <c r="P9" s="55" t="n"/>
      <c r="Q9" s="48" t="n"/>
      <c r="R9" s="46" t="n"/>
      <c r="S9" s="31" t="n"/>
      <c r="T9" s="44" t="n"/>
      <c r="U9" s="45" t="n"/>
      <c r="V9" s="46" t="n"/>
      <c r="W9" s="31" t="n"/>
      <c r="X9" s="75" t="n"/>
      <c r="Y9" s="50" t="n"/>
    </row>
    <row r="10" ht="33" customHeight="1">
      <c r="B10" s="49" t="n"/>
      <c r="C10" s="97" t="n"/>
      <c r="D10" s="83" t="n"/>
      <c r="E10" s="31" t="n"/>
      <c r="F10" s="44" t="n"/>
      <c r="G10" s="45" t="n"/>
      <c r="H10" s="46" t="n"/>
      <c r="I10" s="31" t="n"/>
      <c r="J10" s="44" t="n"/>
      <c r="K10" s="45" t="n"/>
      <c r="L10" s="47" t="n"/>
      <c r="M10" s="31" t="n"/>
      <c r="N10" s="31" t="n"/>
      <c r="O10" s="31" t="n"/>
      <c r="P10" s="55" t="n"/>
      <c r="Q10" s="48" t="n"/>
      <c r="R10" s="46" t="n"/>
      <c r="S10" s="31" t="n"/>
      <c r="T10" s="44" t="n"/>
      <c r="U10" s="45" t="n"/>
      <c r="V10" s="46" t="n"/>
      <c r="W10" s="31" t="n"/>
      <c r="X10" s="75" t="n"/>
      <c r="Y10" s="50" t="n"/>
    </row>
    <row r="11" ht="14.25" customHeight="1">
      <c r="B11" s="49" t="n"/>
      <c r="C11" s="97" t="n"/>
      <c r="D11" s="83" t="n"/>
      <c r="E11" s="31" t="n"/>
      <c r="F11" s="44" t="n"/>
      <c r="G11" s="45" t="n"/>
      <c r="H11" s="46" t="n"/>
      <c r="I11" s="31" t="n"/>
      <c r="J11" s="44" t="n"/>
      <c r="K11" s="45" t="n"/>
      <c r="L11" s="47" t="n"/>
      <c r="M11" s="31" t="n"/>
      <c r="N11" s="31" t="n"/>
      <c r="O11" s="31" t="n"/>
      <c r="P11" s="55" t="n"/>
      <c r="Q11" s="48" t="n"/>
      <c r="R11" s="46" t="n"/>
      <c r="S11" s="31" t="n"/>
      <c r="T11" s="44" t="n"/>
      <c r="U11" s="45" t="n"/>
      <c r="V11" s="46" t="n"/>
      <c r="W11" s="31" t="n"/>
      <c r="X11" s="75" t="n"/>
      <c r="Y11" s="50" t="n"/>
    </row>
    <row r="12" ht="33" customHeight="1">
      <c r="B12" s="49" t="n"/>
      <c r="C12" s="97" t="n"/>
      <c r="D12" s="83" t="n"/>
      <c r="E12" s="31" t="n"/>
      <c r="F12" s="44" t="n"/>
      <c r="G12" s="45" t="n"/>
      <c r="H12" s="46" t="n"/>
      <c r="I12" s="31" t="n"/>
      <c r="J12" s="44" t="n"/>
      <c r="K12" s="45" t="n"/>
      <c r="L12" s="47" t="n"/>
      <c r="M12" s="31" t="n"/>
      <c r="N12" s="31" t="n"/>
      <c r="O12" s="31" t="n"/>
      <c r="P12" s="55" t="n"/>
      <c r="Q12" s="48" t="n"/>
      <c r="R12" s="46" t="n"/>
      <c r="S12" s="31" t="n"/>
      <c r="T12" s="44" t="n"/>
      <c r="U12" s="45" t="n"/>
      <c r="V12" s="46" t="n"/>
      <c r="W12" s="31" t="n"/>
      <c r="X12" s="75" t="n"/>
      <c r="Y12" s="50" t="n"/>
    </row>
    <row r="13" ht="33" customHeight="1">
      <c r="B13" s="49" t="n"/>
      <c r="C13" s="97" t="n"/>
      <c r="D13" s="83" t="n"/>
      <c r="E13" s="31" t="n"/>
      <c r="F13" s="44" t="n"/>
      <c r="G13" s="45" t="n"/>
      <c r="H13" s="46" t="n"/>
      <c r="I13" s="31" t="n"/>
      <c r="J13" s="44" t="n"/>
      <c r="K13" s="45" t="n"/>
      <c r="L13" s="47" t="n"/>
      <c r="M13" s="31" t="n"/>
      <c r="N13" s="31" t="n"/>
      <c r="O13" s="31" t="n"/>
      <c r="P13" s="55" t="n"/>
      <c r="Q13" s="48" t="n"/>
      <c r="R13" s="46" t="n"/>
      <c r="S13" s="31" t="n"/>
      <c r="T13" s="44" t="n"/>
      <c r="U13" s="45" t="n"/>
      <c r="V13" s="46" t="n"/>
      <c r="W13" s="31" t="n"/>
      <c r="X13" s="75" t="n"/>
      <c r="Y13" s="50" t="n"/>
    </row>
    <row r="14" ht="33" customHeight="1">
      <c r="B14" s="49" t="n"/>
      <c r="C14" s="97" t="n"/>
      <c r="D14" s="83" t="n"/>
      <c r="E14" s="31" t="n"/>
      <c r="F14" s="44" t="n"/>
      <c r="G14" s="45" t="n"/>
      <c r="H14" s="46" t="n"/>
      <c r="I14" s="31" t="n"/>
      <c r="J14" s="44" t="n"/>
      <c r="K14" s="45" t="n"/>
      <c r="L14" s="47" t="n"/>
      <c r="M14" s="31" t="n"/>
      <c r="N14" s="31" t="n"/>
      <c r="O14" s="31" t="n"/>
      <c r="P14" s="55" t="n"/>
      <c r="Q14" s="48" t="n"/>
      <c r="R14" s="46" t="n"/>
      <c r="S14" s="31" t="n"/>
      <c r="T14" s="44" t="n"/>
      <c r="U14" s="45" t="n"/>
      <c r="V14" s="46" t="n"/>
      <c r="W14" s="31" t="n"/>
      <c r="X14" s="75" t="n"/>
      <c r="Y14" s="50" t="n"/>
    </row>
    <row r="15" ht="33" customHeight="1">
      <c r="B15" s="49" t="n"/>
      <c r="C15" s="97" t="n"/>
      <c r="D15" s="83" t="n"/>
      <c r="E15" s="31" t="n"/>
      <c r="F15" s="44" t="n"/>
      <c r="G15" s="45" t="n"/>
      <c r="H15" s="46" t="n"/>
      <c r="I15" s="31" t="n"/>
      <c r="J15" s="44" t="n"/>
      <c r="K15" s="45" t="n"/>
      <c r="L15" s="47" t="n"/>
      <c r="M15" s="31" t="n"/>
      <c r="N15" s="31" t="n"/>
      <c r="O15" s="31" t="n"/>
      <c r="P15" s="55" t="n"/>
      <c r="Q15" s="48" t="n"/>
      <c r="R15" s="46" t="n"/>
      <c r="S15" s="31" t="n"/>
      <c r="T15" s="44" t="n"/>
      <c r="U15" s="45" t="n"/>
      <c r="V15" s="46" t="n"/>
      <c r="W15" s="31" t="n"/>
      <c r="X15" s="75" t="n"/>
      <c r="Y15" s="50" t="n"/>
    </row>
    <row r="16" ht="14.25" customHeight="1">
      <c r="B16" s="49" t="n"/>
      <c r="C16" s="97" t="n"/>
      <c r="D16" s="83" t="n"/>
      <c r="E16" s="31" t="n"/>
      <c r="F16" s="44" t="n"/>
      <c r="G16" s="45" t="n"/>
      <c r="H16" s="46" t="n"/>
      <c r="I16" s="31" t="n"/>
      <c r="J16" s="44" t="n"/>
      <c r="K16" s="45" t="n"/>
      <c r="L16" s="47" t="n"/>
      <c r="M16" s="31" t="n"/>
      <c r="N16" s="31" t="n"/>
      <c r="O16" s="31" t="n"/>
      <c r="P16" s="55" t="n"/>
      <c r="Q16" s="48" t="n"/>
      <c r="R16" s="46" t="n"/>
      <c r="S16" s="31" t="n"/>
      <c r="T16" s="44" t="n"/>
      <c r="U16" s="45" t="n"/>
      <c r="V16" s="46" t="n"/>
      <c r="W16" s="31" t="n"/>
      <c r="X16" s="75" t="n"/>
      <c r="Y16" s="50" t="n"/>
    </row>
    <row r="17">
      <c r="B17" s="49" t="n"/>
      <c r="C17" s="97" t="n"/>
      <c r="D17" s="83" t="n"/>
      <c r="E17" s="31" t="n"/>
      <c r="F17" s="44" t="n"/>
      <c r="G17" s="45" t="n"/>
      <c r="H17" s="46" t="n"/>
      <c r="I17" s="31" t="n"/>
      <c r="J17" s="44" t="n"/>
      <c r="K17" s="45" t="n"/>
      <c r="L17" s="47" t="n"/>
      <c r="M17" s="31" t="n"/>
      <c r="N17" s="31" t="n"/>
      <c r="O17" s="31" t="n"/>
      <c r="P17" s="55" t="n"/>
      <c r="Q17" s="48" t="n"/>
      <c r="R17" s="46" t="n"/>
      <c r="S17" s="31" t="n"/>
      <c r="T17" s="44" t="n"/>
      <c r="U17" s="45" t="n"/>
      <c r="V17" s="46" t="n"/>
      <c r="W17" s="31" t="n"/>
      <c r="X17" s="75" t="n"/>
      <c r="Y17" s="50" t="n"/>
    </row>
    <row r="18" ht="14.25" customHeight="1">
      <c r="B18" s="49" t="n"/>
      <c r="C18" s="97" t="n"/>
      <c r="D18" s="83" t="n"/>
      <c r="E18" s="31" t="n"/>
      <c r="F18" s="44" t="n"/>
      <c r="G18" s="45" t="n"/>
      <c r="H18" s="46" t="n"/>
      <c r="I18" s="31" t="n"/>
      <c r="J18" s="44" t="n"/>
      <c r="K18" s="45" t="n"/>
      <c r="L18" s="47" t="n"/>
      <c r="M18" s="31" t="n"/>
      <c r="N18" s="31" t="n"/>
      <c r="O18" s="31" t="n"/>
      <c r="P18" s="55" t="n"/>
      <c r="Q18" s="48" t="n"/>
      <c r="R18" s="46" t="n"/>
      <c r="S18" s="31" t="n"/>
      <c r="T18" s="44" t="n"/>
      <c r="U18" s="45" t="n"/>
      <c r="V18" s="46" t="n"/>
      <c r="W18" s="31" t="n"/>
      <c r="X18" s="75" t="n"/>
      <c r="Y18" s="50" t="n"/>
    </row>
    <row r="19">
      <c r="B19" s="49" t="n"/>
      <c r="C19" s="97" t="n"/>
      <c r="D19" s="83" t="n"/>
      <c r="E19" s="31" t="n"/>
      <c r="F19" s="44" t="n"/>
      <c r="G19" s="45" t="n"/>
      <c r="H19" s="46" t="n"/>
      <c r="I19" s="31" t="n"/>
      <c r="J19" s="44" t="n"/>
      <c r="K19" s="45" t="n"/>
      <c r="L19" s="47" t="n"/>
      <c r="M19" s="31" t="n"/>
      <c r="N19" s="31" t="n"/>
      <c r="O19" s="31" t="n"/>
      <c r="P19" s="55" t="n"/>
      <c r="Q19" s="48" t="n"/>
      <c r="R19" s="46" t="n"/>
      <c r="S19" s="31" t="n"/>
      <c r="T19" s="44" t="n"/>
      <c r="U19" s="45" t="n"/>
      <c r="V19" s="46" t="n"/>
      <c r="W19" s="31" t="n"/>
      <c r="X19" s="75" t="n"/>
      <c r="Y19" s="50" t="n"/>
    </row>
    <row r="20" ht="14.25" customHeight="1">
      <c r="B20" s="49" t="n"/>
      <c r="C20" s="97" t="n"/>
      <c r="D20" s="83" t="n"/>
      <c r="E20" s="31" t="n"/>
      <c r="F20" s="44" t="n"/>
      <c r="G20" s="45" t="n"/>
      <c r="H20" s="46" t="n"/>
      <c r="I20" s="31" t="n"/>
      <c r="J20" s="44" t="n"/>
      <c r="K20" s="45" t="n"/>
      <c r="L20" s="47" t="n"/>
      <c r="M20" s="31" t="n"/>
      <c r="N20" s="31" t="n"/>
      <c r="O20" s="31" t="n"/>
      <c r="P20" s="55" t="n"/>
      <c r="Q20" s="48" t="n"/>
      <c r="R20" s="46" t="n"/>
      <c r="S20" s="31" t="n"/>
      <c r="T20" s="44" t="n"/>
      <c r="U20" s="45" t="n"/>
      <c r="V20" s="46" t="n"/>
      <c r="W20" s="31" t="n"/>
      <c r="X20" s="75" t="n"/>
      <c r="Y20" s="50" t="n"/>
    </row>
    <row r="21" ht="14.25" customHeight="1">
      <c r="B21" s="49" t="n"/>
      <c r="C21" s="97" t="n"/>
      <c r="D21" s="83" t="n"/>
      <c r="E21" s="31" t="n"/>
      <c r="F21" s="44" t="n"/>
      <c r="G21" s="45" t="n"/>
      <c r="H21" s="56" t="n"/>
      <c r="I21" s="118" t="n"/>
      <c r="J21" s="57" t="n"/>
      <c r="K21" s="45" t="n"/>
      <c r="L21" s="47" t="n"/>
      <c r="M21" s="31" t="n"/>
      <c r="N21" s="31" t="n"/>
      <c r="O21" s="31" t="n"/>
      <c r="P21" s="55" t="n"/>
      <c r="Q21" s="48" t="n"/>
      <c r="R21" s="56" t="n"/>
      <c r="S21" s="118" t="n"/>
      <c r="T21" s="57" t="n"/>
      <c r="U21" s="45" t="n"/>
      <c r="V21" s="46" t="n"/>
      <c r="W21" s="31" t="n"/>
      <c r="X21" s="75" t="n"/>
      <c r="Y21" s="50" t="n"/>
    </row>
    <row r="22" ht="3.75" customHeight="1">
      <c r="B22" s="49" t="n"/>
      <c r="C22" s="97" t="n"/>
      <c r="D22" s="83" t="n"/>
      <c r="E22" s="31" t="n"/>
      <c r="F22" s="44" t="n"/>
      <c r="G22" s="45" t="n"/>
      <c r="H22" s="58" t="n"/>
      <c r="I22" s="59" t="n"/>
      <c r="J22" s="58" t="n"/>
      <c r="K22" s="45" t="n"/>
      <c r="L22" s="47" t="n"/>
      <c r="M22" s="31" t="n"/>
      <c r="N22" s="31" t="n"/>
      <c r="O22" s="31" t="n"/>
      <c r="P22" s="55" t="n"/>
      <c r="Q22" s="48" t="n"/>
      <c r="R22" s="58" t="n"/>
      <c r="S22" s="59" t="n"/>
      <c r="T22" s="58" t="n"/>
      <c r="U22" s="45" t="n"/>
      <c r="V22" s="46" t="n"/>
      <c r="W22" s="31" t="n"/>
      <c r="X22" s="75" t="n"/>
      <c r="Y22" s="50" t="n"/>
    </row>
    <row r="23" ht="14.25" customHeight="1">
      <c r="B23" s="49" t="n"/>
      <c r="C23" s="97" t="n"/>
      <c r="D23" s="83" t="n"/>
      <c r="E23" s="31" t="n"/>
      <c r="F23" s="44" t="n"/>
      <c r="G23" s="45" t="n"/>
      <c r="H23" s="46" t="n"/>
      <c r="I23" s="48" t="n"/>
      <c r="J23" s="44" t="n"/>
      <c r="K23" s="45" t="n"/>
      <c r="L23" s="47" t="n"/>
      <c r="M23" s="31" t="n"/>
      <c r="N23" s="31" t="n"/>
      <c r="O23" s="31" t="n"/>
      <c r="P23" s="55" t="n"/>
      <c r="Q23" s="48" t="n"/>
      <c r="R23" s="46" t="n"/>
      <c r="S23" s="48" t="n"/>
      <c r="T23" s="44" t="n"/>
      <c r="U23" s="45" t="n"/>
      <c r="V23" s="46" t="n"/>
      <c r="W23" s="31" t="n"/>
      <c r="X23" s="75" t="n"/>
      <c r="Y23" s="50" t="n"/>
    </row>
    <row r="24" ht="23.45" customHeight="1">
      <c r="B24" s="49" t="n"/>
      <c r="C24" s="97" t="n"/>
      <c r="D24" s="83" t="n"/>
      <c r="E24" s="31" t="n"/>
      <c r="F24" s="44" t="n"/>
      <c r="G24" s="45" t="n"/>
      <c r="H24" s="46" t="n"/>
      <c r="I24" s="93" t="inlineStr">
        <is>
          <t>Recursos clave</t>
        </is>
      </c>
      <c r="J24" s="60" t="n"/>
      <c r="K24" s="61" t="n"/>
      <c r="L24" s="62" t="n"/>
      <c r="M24" s="31" t="n"/>
      <c r="N24" s="31" t="n"/>
      <c r="O24" s="31" t="n"/>
      <c r="P24" s="63" t="n"/>
      <c r="Q24" s="61" t="n"/>
      <c r="R24" s="64" t="n"/>
      <c r="S24" s="93" t="inlineStr">
        <is>
          <t>Canales</t>
        </is>
      </c>
      <c r="T24" s="44" t="n"/>
      <c r="U24" s="45" t="n"/>
      <c r="V24" s="46" t="n"/>
      <c r="W24" s="31" t="n"/>
      <c r="X24" s="75" t="n"/>
      <c r="Y24" s="50" t="n"/>
    </row>
    <row r="25">
      <c r="B25" s="49" t="n"/>
      <c r="C25" s="97" t="n"/>
      <c r="D25" s="83" t="n"/>
      <c r="E25" s="31" t="n"/>
      <c r="F25" s="44" t="n"/>
      <c r="G25" s="45" t="n"/>
      <c r="H25" s="46" t="n"/>
      <c r="I25" s="48" t="n"/>
      <c r="J25" s="44" t="n"/>
      <c r="K25" s="45" t="n"/>
      <c r="L25" s="47" t="n"/>
      <c r="M25" s="31" t="n"/>
      <c r="N25" s="31" t="n"/>
      <c r="O25" s="31" t="n"/>
      <c r="P25" s="55" t="n"/>
      <c r="Q25" s="45" t="n"/>
      <c r="R25" s="46" t="n"/>
      <c r="S25" s="43" t="n"/>
      <c r="T25" s="44" t="n"/>
      <c r="U25" s="45" t="n"/>
      <c r="V25" s="46" t="n"/>
      <c r="W25" s="31" t="n"/>
      <c r="X25" s="75" t="n"/>
      <c r="Y25" s="50" t="n"/>
    </row>
    <row r="26">
      <c r="B26" s="49" t="n"/>
      <c r="C26" s="97" t="n"/>
      <c r="D26" s="83" t="n"/>
      <c r="E26" s="31" t="n"/>
      <c r="F26" s="44" t="n"/>
      <c r="G26" s="45" t="n"/>
      <c r="H26" s="46" t="n"/>
      <c r="I26" s="105" t="inlineStr">
        <is>
          <t>RECURSOS CLAVE
Ordenados por escasez, no por costo:
1. EL CONTRATO CON EL PROMOTOR — el aforo es de otro, y sin inventario no hay nada que vender. Es el único que no se compra ni se programa: se negocia.
2. CAPACIDAD ELÁSTICA para la ventana de venta — el derecho a crecer 40× durante tres horas y no pagarlo el resto del mes.
3. IDENTIDAD VERIFICADA DEL COMPRADOR — sin ella no hay boleta nominal, ni transferencia controlada, ni reventa capturada.
4. REGISTRO RECONSTRUIBLE DE CADA VENTA — sostiene disputas, conciliación y auditoría del aforo.
5. CAPITAL DE TRABAJO DEL CICLO DE LIQUIDACIÓN — cobramos $244.000 y giramos dos bolsillos que no son nuestros; ante una cancelación hay que devolver con plazo legal.
6. HISTÓRICO DE VENTAS POR PROMOTOR.
7. EQUIPO: 4 FTE (2 ingeniería, 1 operación y soporte, 1 comercial-técnico).</t>
        </is>
      </c>
      <c r="J26" s="44" t="n"/>
      <c r="K26" s="45" t="n"/>
      <c r="L26" s="47" t="n"/>
      <c r="M26" s="31" t="n"/>
      <c r="N26" s="31" t="n"/>
      <c r="O26" s="31" t="n"/>
      <c r="P26" s="55" t="n"/>
      <c r="Q26" s="45" t="n"/>
      <c r="R26" s="46" t="n"/>
      <c r="S26" s="105" t="inlineStr">
        <is>
          <t>CANALES
DE VENTA
• Canal digital oficial de Puesto, enlazado desde la comunicación del evento.
• Consola del promotor: inventario, reglas de venta, reportes y liquidación.
DE ADQUISICIÓN (el que de verdad importa)
• El promotor y el artista. El fan no nos busca: llega porque se anunció la fecha.
• Prospección comercial desde el registro público del PULEP. [V]
CONSECUENCIA: este negocio no tiene línea de publicidad masiva. Tiene línea comercial B2B — y por eso ese costo aparece en la estructura de costes en lugar de «publicidad».</t>
        </is>
      </c>
      <c r="T26" s="44" t="n"/>
      <c r="U26" s="45" t="n"/>
      <c r="V26" s="46" t="n"/>
      <c r="W26" s="31" t="n"/>
      <c r="X26" s="75" t="n"/>
      <c r="Y26" s="50" t="n"/>
    </row>
    <row r="27">
      <c r="B27" s="49" t="n"/>
      <c r="C27" s="97" t="n"/>
      <c r="D27" s="83" t="n"/>
      <c r="E27" s="31" t="n"/>
      <c r="F27" s="44" t="n"/>
      <c r="G27" s="45" t="n"/>
      <c r="H27" s="46" t="n"/>
      <c r="I27" s="31" t="n"/>
      <c r="J27" s="44" t="n"/>
      <c r="K27" s="45" t="n"/>
      <c r="L27" s="47" t="n"/>
      <c r="M27" s="31" t="n"/>
      <c r="N27" s="31" t="n"/>
      <c r="O27" s="31" t="n"/>
      <c r="P27" s="55" t="n"/>
      <c r="Q27" s="45" t="n"/>
      <c r="R27" s="46" t="n"/>
      <c r="S27" s="31" t="n"/>
      <c r="T27" s="44" t="n"/>
      <c r="U27" s="45" t="n"/>
      <c r="V27" s="46" t="n"/>
      <c r="W27" s="31" t="n"/>
      <c r="X27" s="75" t="n"/>
      <c r="Y27" s="50" t="n"/>
    </row>
    <row r="28">
      <c r="B28" s="49" t="n"/>
      <c r="C28" s="97" t="n"/>
      <c r="D28" s="83" t="n"/>
      <c r="E28" s="31" t="n"/>
      <c r="F28" s="44" t="n"/>
      <c r="G28" s="45" t="n"/>
      <c r="H28" s="46" t="n"/>
      <c r="I28" s="31" t="n"/>
      <c r="J28" s="44" t="n"/>
      <c r="K28" s="45" t="n"/>
      <c r="L28" s="47" t="n"/>
      <c r="M28" s="31" t="n"/>
      <c r="N28" s="31" t="n"/>
      <c r="O28" s="31" t="n"/>
      <c r="P28" s="55" t="n"/>
      <c r="Q28" s="45" t="n"/>
      <c r="R28" s="46" t="n"/>
      <c r="S28" s="31" t="n"/>
      <c r="T28" s="44" t="n"/>
      <c r="U28" s="45" t="n"/>
      <c r="V28" s="46" t="n"/>
      <c r="W28" s="31" t="n"/>
      <c r="X28" s="75" t="n"/>
      <c r="Y28" s="50" t="n"/>
    </row>
    <row r="29">
      <c r="B29" s="49" t="n"/>
      <c r="C29" s="97" t="n"/>
      <c r="D29" s="83" t="n"/>
      <c r="E29" s="31" t="n"/>
      <c r="F29" s="44" t="n"/>
      <c r="G29" s="45" t="n"/>
      <c r="H29" s="46" t="n"/>
      <c r="I29" s="31" t="n"/>
      <c r="J29" s="44" t="n"/>
      <c r="K29" s="45" t="n"/>
      <c r="L29" s="47" t="n"/>
      <c r="M29" s="31" t="n"/>
      <c r="N29" s="31" t="n"/>
      <c r="O29" s="31" t="n"/>
      <c r="P29" s="55" t="n"/>
      <c r="Q29" s="45" t="n"/>
      <c r="R29" s="46" t="n"/>
      <c r="S29" s="31" t="n"/>
      <c r="T29" s="44" t="n"/>
      <c r="U29" s="45" t="n"/>
      <c r="V29" s="46" t="n"/>
      <c r="W29" s="31" t="n"/>
      <c r="X29" s="75" t="n"/>
      <c r="Y29" s="50" t="n"/>
    </row>
    <row r="30">
      <c r="B30" s="49" t="n"/>
      <c r="C30" s="97" t="n"/>
      <c r="D30" s="83" t="n"/>
      <c r="E30" s="31" t="n"/>
      <c r="F30" s="44" t="n"/>
      <c r="G30" s="45" t="n"/>
      <c r="H30" s="46" t="n"/>
      <c r="I30" s="31" t="n"/>
      <c r="J30" s="44" t="n"/>
      <c r="K30" s="45" t="n"/>
      <c r="L30" s="47" t="n"/>
      <c r="M30" s="31" t="n"/>
      <c r="N30" s="31" t="n"/>
      <c r="O30" s="31" t="n"/>
      <c r="P30" s="55" t="n"/>
      <c r="Q30" s="45" t="n"/>
      <c r="R30" s="46" t="n"/>
      <c r="S30" s="31" t="n"/>
      <c r="T30" s="44" t="n"/>
      <c r="U30" s="45" t="n"/>
      <c r="V30" s="46" t="n"/>
      <c r="W30" s="31" t="n"/>
      <c r="X30" s="75" t="n"/>
      <c r="Y30" s="50" t="n"/>
    </row>
    <row r="31">
      <c r="B31" s="49" t="n"/>
      <c r="C31" s="97" t="n"/>
      <c r="D31" s="83" t="n"/>
      <c r="E31" s="31" t="n"/>
      <c r="F31" s="44" t="n"/>
      <c r="G31" s="45" t="n"/>
      <c r="H31" s="46" t="n"/>
      <c r="I31" s="31" t="n"/>
      <c r="J31" s="44" t="n"/>
      <c r="K31" s="45" t="n"/>
      <c r="L31" s="47" t="n"/>
      <c r="M31" s="31" t="n"/>
      <c r="N31" s="31" t="n"/>
      <c r="O31" s="31" t="n"/>
      <c r="P31" s="55" t="n"/>
      <c r="Q31" s="45" t="n"/>
      <c r="R31" s="46" t="n"/>
      <c r="S31" s="31" t="n"/>
      <c r="T31" s="44" t="n"/>
      <c r="U31" s="45" t="n"/>
      <c r="V31" s="46" t="n"/>
      <c r="W31" s="31" t="n"/>
      <c r="X31" s="75" t="n"/>
      <c r="Y31" s="50" t="n"/>
    </row>
    <row r="32">
      <c r="B32" s="49" t="n"/>
      <c r="C32" s="97" t="n"/>
      <c r="D32" s="83" t="n"/>
      <c r="E32" s="31" t="n"/>
      <c r="F32" s="44" t="n"/>
      <c r="G32" s="45" t="n"/>
      <c r="H32" s="46" t="n"/>
      <c r="I32" s="31" t="n"/>
      <c r="J32" s="44" t="n"/>
      <c r="K32" s="45" t="n"/>
      <c r="L32" s="47" t="n"/>
      <c r="M32" s="31" t="n"/>
      <c r="N32" s="31" t="n"/>
      <c r="O32" s="31" t="n"/>
      <c r="P32" s="55" t="n"/>
      <c r="Q32" s="45" t="n"/>
      <c r="R32" s="46" t="n"/>
      <c r="S32" s="31" t="n"/>
      <c r="T32" s="44" t="n"/>
      <c r="U32" s="45" t="n"/>
      <c r="V32" s="46" t="n"/>
      <c r="W32" s="31" t="n"/>
      <c r="X32" s="75" t="n"/>
      <c r="Y32" s="50" t="n"/>
    </row>
    <row r="33">
      <c r="B33" s="49" t="n"/>
      <c r="C33" s="97" t="n"/>
      <c r="D33" s="83" t="n"/>
      <c r="E33" s="31" t="n"/>
      <c r="F33" s="44" t="n"/>
      <c r="G33" s="45" t="n"/>
      <c r="H33" s="46" t="n"/>
      <c r="I33" s="31" t="n"/>
      <c r="J33" s="44" t="n"/>
      <c r="K33" s="45" t="n"/>
      <c r="L33" s="47" t="n"/>
      <c r="M33" s="31" t="n"/>
      <c r="N33" s="31" t="n"/>
      <c r="O33" s="31" t="n"/>
      <c r="P33" s="55" t="n"/>
      <c r="Q33" s="45" t="n"/>
      <c r="R33" s="46" t="n"/>
      <c r="S33" s="31" t="n"/>
      <c r="T33" s="44" t="n"/>
      <c r="U33" s="45" t="n"/>
      <c r="V33" s="46" t="n"/>
      <c r="W33" s="31" t="n"/>
      <c r="X33" s="75" t="n"/>
      <c r="Y33" s="50" t="n"/>
    </row>
    <row r="34">
      <c r="B34" s="49" t="n"/>
      <c r="C34" s="97" t="n"/>
      <c r="D34" s="83" t="n"/>
      <c r="E34" s="31" t="n"/>
      <c r="F34" s="44" t="n"/>
      <c r="G34" s="45" t="n"/>
      <c r="H34" s="46" t="n"/>
      <c r="I34" s="31" t="n"/>
      <c r="J34" s="44" t="n"/>
      <c r="K34" s="45" t="n"/>
      <c r="L34" s="47" t="n"/>
      <c r="M34" s="31" t="n"/>
      <c r="N34" s="31" t="n"/>
      <c r="O34" s="31" t="n"/>
      <c r="P34" s="55" t="n"/>
      <c r="Q34" s="45" t="n"/>
      <c r="R34" s="46" t="n"/>
      <c r="S34" s="31" t="n"/>
      <c r="T34" s="44" t="n"/>
      <c r="U34" s="45" t="n"/>
      <c r="V34" s="46" t="n"/>
      <c r="W34" s="31" t="n"/>
      <c r="X34" s="75" t="n"/>
      <c r="Y34" s="50" t="n"/>
    </row>
    <row r="35">
      <c r="B35" s="49" t="n"/>
      <c r="C35" s="97" t="n"/>
      <c r="D35" s="83" t="n"/>
      <c r="E35" s="31" t="n"/>
      <c r="F35" s="44" t="n"/>
      <c r="G35" s="45" t="n"/>
      <c r="H35" s="46" t="n"/>
      <c r="I35" s="31" t="n"/>
      <c r="J35" s="44" t="n"/>
      <c r="K35" s="45" t="n"/>
      <c r="L35" s="47" t="n"/>
      <c r="M35" s="31" t="n"/>
      <c r="N35" s="31" t="n"/>
      <c r="O35" s="31" t="n"/>
      <c r="P35" s="55" t="n"/>
      <c r="Q35" s="45" t="n"/>
      <c r="R35" s="46" t="n"/>
      <c r="S35" s="31" t="n"/>
      <c r="T35" s="44" t="n"/>
      <c r="U35" s="45" t="n"/>
      <c r="V35" s="46" t="n"/>
      <c r="W35" s="31" t="n"/>
      <c r="X35" s="75" t="n"/>
      <c r="Y35" s="50" t="n"/>
    </row>
    <row r="36">
      <c r="B36" s="49" t="n"/>
      <c r="C36" s="97" t="n"/>
      <c r="D36" s="83" t="n"/>
      <c r="E36" s="31" t="n"/>
      <c r="F36" s="44" t="n"/>
      <c r="G36" s="45" t="n"/>
      <c r="H36" s="46" t="n"/>
      <c r="I36" s="31" t="n"/>
      <c r="J36" s="44" t="n"/>
      <c r="K36" s="45" t="n"/>
      <c r="L36" s="47" t="n"/>
      <c r="M36" s="31" t="n"/>
      <c r="N36" s="31" t="n"/>
      <c r="O36" s="31" t="n"/>
      <c r="P36" s="55" t="n"/>
      <c r="Q36" s="45" t="n"/>
      <c r="R36" s="46" t="n"/>
      <c r="S36" s="31" t="n"/>
      <c r="T36" s="44" t="n"/>
      <c r="U36" s="45" t="n"/>
      <c r="V36" s="46" t="n"/>
      <c r="W36" s="31" t="n"/>
      <c r="X36" s="75" t="n"/>
      <c r="Y36" s="50" t="n"/>
    </row>
    <row r="37">
      <c r="B37" s="49" t="n"/>
      <c r="C37" s="97" t="n"/>
      <c r="D37" s="83" t="n"/>
      <c r="E37" s="31" t="n"/>
      <c r="F37" s="44" t="n"/>
      <c r="G37" s="45" t="n"/>
      <c r="H37" s="46" t="n"/>
      <c r="I37" s="31" t="n"/>
      <c r="J37" s="44" t="n"/>
      <c r="K37" s="45" t="n"/>
      <c r="L37" s="47" t="n"/>
      <c r="M37" s="31" t="n"/>
      <c r="N37" s="31" t="n"/>
      <c r="O37" s="31" t="n"/>
      <c r="P37" s="55" t="n"/>
      <c r="Q37" s="45" t="n"/>
      <c r="R37" s="46" t="n"/>
      <c r="S37" s="31" t="n"/>
      <c r="T37" s="44" t="n"/>
      <c r="U37" s="45" t="n"/>
      <c r="V37" s="46" t="n"/>
      <c r="W37" s="31" t="n"/>
      <c r="X37" s="75" t="n"/>
      <c r="Y37" s="50" t="n"/>
    </row>
    <row r="38" ht="18.95" customHeight="1" thickBot="1">
      <c r="B38" s="49" t="n"/>
      <c r="C38" s="97" t="n"/>
      <c r="D38" s="84" t="n"/>
      <c r="E38" s="118" t="n"/>
      <c r="F38" s="57" t="n"/>
      <c r="G38" s="45" t="n"/>
      <c r="H38" s="56" t="n"/>
      <c r="I38" s="118" t="n"/>
      <c r="J38" s="57" t="n"/>
      <c r="K38" s="45" t="n"/>
      <c r="L38" s="65" t="n"/>
      <c r="M38" s="119" t="n"/>
      <c r="N38" s="119" t="n"/>
      <c r="O38" s="119" t="n"/>
      <c r="P38" s="66" t="n"/>
      <c r="Q38" s="45" t="n"/>
      <c r="R38" s="56" t="n"/>
      <c r="S38" s="118" t="n"/>
      <c r="T38" s="57" t="n"/>
      <c r="U38" s="45" t="n"/>
      <c r="V38" s="56" t="n"/>
      <c r="W38" s="118" t="n"/>
      <c r="X38" s="76" t="n"/>
      <c r="Y38" s="50" t="n"/>
    </row>
    <row r="39" ht="3.75" customHeight="1">
      <c r="B39" s="49" t="n"/>
      <c r="C39" s="97" t="n"/>
      <c r="D39" s="74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75" t="n"/>
      <c r="Y39" s="50" t="n"/>
    </row>
    <row r="40">
      <c r="B40" s="49" t="n"/>
      <c r="C40" s="97" t="n"/>
      <c r="D40" s="77" t="n"/>
      <c r="E40" s="52" t="n"/>
      <c r="F40" s="52" t="n"/>
      <c r="G40" s="52" t="n"/>
      <c r="H40" s="52" t="n"/>
      <c r="I40" s="52" t="n"/>
      <c r="J40" s="52" t="n"/>
      <c r="K40" s="52" t="n"/>
      <c r="L40" s="52" t="n"/>
      <c r="M40" s="53" t="n"/>
      <c r="N40" s="45" t="n"/>
      <c r="O40" s="54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78" t="n"/>
      <c r="Y40" s="50" t="n"/>
    </row>
    <row r="41" ht="23.45" customHeight="1">
      <c r="B41" s="49" t="n"/>
      <c r="C41" s="97" t="n"/>
      <c r="D41" s="74" t="n"/>
      <c r="E41" s="109" t="inlineStr">
        <is>
          <t>Estructura de costes</t>
        </is>
      </c>
      <c r="F41" s="31" t="n"/>
      <c r="G41" s="31" t="n"/>
      <c r="H41" s="31" t="n"/>
      <c r="I41" s="31" t="n"/>
      <c r="J41" s="31" t="n"/>
      <c r="K41" s="31" t="n"/>
      <c r="L41" s="31" t="n"/>
      <c r="M41" s="120" t="n"/>
      <c r="N41" s="45" t="n"/>
      <c r="O41" s="106" t="inlineStr">
        <is>
          <t>Fuentes de ingreso</t>
        </is>
      </c>
      <c r="P41" s="31" t="n"/>
      <c r="Q41" s="31" t="n"/>
      <c r="R41" s="31" t="n"/>
      <c r="S41" s="31" t="n"/>
      <c r="T41" s="31" t="n"/>
      <c r="U41" s="31" t="n"/>
      <c r="V41" s="31" t="n"/>
      <c r="W41" s="31" t="n"/>
      <c r="X41" s="75" t="n"/>
      <c r="Y41" s="50" t="n"/>
    </row>
    <row r="42">
      <c r="B42" s="49" t="n"/>
      <c r="C42" s="97" t="n"/>
      <c r="D42" s="74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4" t="n"/>
      <c r="N42" s="45" t="n"/>
      <c r="O42" s="46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75" t="n"/>
      <c r="Y42" s="50" t="n"/>
    </row>
    <row r="43">
      <c r="B43" s="49" t="n"/>
      <c r="C43" s="97" t="n"/>
      <c r="D43" s="74" t="n"/>
      <c r="E43" s="102" t="inlineStr">
        <is>
          <t>ESTRUCTURA DE COSTES — la separación que importa es FIJO contra PICO, y ninguna línea se escribe sin su inductor
VARIABLES
• Pasarela = transacciones aprobadas × (2,65% + $700 + IVA)  →  ~$8.528 / boleta  =  90% del costo variable   [V] tarifa
• Cómputo del pico = instancias-hora de la ventana × precio/hora  →  ~$9 / boleta   [V] tarifa
• Soporte = agentes-hora en la ventana ÷ boletas del evento  →  ~$200 / boleta   [S]
• Verificación de identidad, notificaciones, auditoría y disputas  →  ~$345 / boleta   [S]
TOTAL VARIABLE ≈ $9.173 por boleta
FIJOS ≈ $51,9 M / mes
• Equipo 4 FTE: $42,6 M (82% del fijo)   [S] · SMMLV 2026 [V]
• Infraestructura base, cumplimiento (habeas data, PULEP, contable), licencias
• Adquisición de promotores $5 M — REEMPLAZA a la publicidad masiva, y es coherente con el canal de adquisición
HALLAZGO: el pico es caro en reputación y barato en pesos. Meta declarada: costo de infraestructura ≤ $150 por boleta, medido bajo una carga declarada de 30.000 usuarios concurrentes.</t>
        </is>
      </c>
      <c r="F43" s="31" t="n"/>
      <c r="G43" s="31" t="n"/>
      <c r="H43" s="31" t="n"/>
      <c r="I43" s="31" t="n"/>
      <c r="J43" s="31" t="n"/>
      <c r="K43" s="31" t="n"/>
      <c r="L43" s="31" t="n"/>
      <c r="M43" s="120" t="n"/>
      <c r="N43" s="45" t="n"/>
      <c r="O43" s="104" t="inlineStr">
        <is>
          <t>FUENTES DE INGRESO
EL PRECIO QUE VE EL FAN TIENE TRES BOLSILLOS, Y SOLO UNO ES NUESTRO
   Valor de la boleta (del promotor)          $200.000
 + Cargo por servicio 12% (NUESTRO ingreso)    $24.000   [S] dentro del rango de mercado 10-15% [V]
 + Contribución parafiscal 10% (del Estado)    $20.000   [V] Ley 1493, boletas ≥ 3 UVT ($157.122)
 = Total que paga el fan                      $244.000
La parafiscal NO es ingreso nuestro: es dinero que pasa por el sistema. Lo nuestro es la obligación de liquidarla sin equivocarnos.
LAS CINCO FUENTES, Y QUÉ APORTA CADA UNA
1. Cargo por servicio por boleta ............... ~86%
2. Comisión por reventa DENTRO de la plataforma, repartida 50/50 con el promotor ... ~7%  ← EL DIFERENCIAL: hoy ese margen se lo lleva el revendedor por fuera
3. Plataforma multi-tenant por evento .......... ~4%
4. Datos del evento ............................ ~2%   (condicionado a la Ley 1581)
5. Preventa segmentada como producto ........... ~1%
VIABILIDAD: margen de contribución ≈ $15.947 por boleta (63%). Punto de equilibrio ≈ 3.250 boletas/mes ≈ 0,43 eventos tipo/mes ≈ 1 promotor activo. Sin la fuente 2, el equilibrio apenas se mueve: la reventa es techo, no piso.</t>
        </is>
      </c>
      <c r="P43" s="31" t="n"/>
      <c r="Q43" s="31" t="n"/>
      <c r="R43" s="31" t="n"/>
      <c r="S43" s="31" t="n"/>
      <c r="T43" s="31" t="n"/>
      <c r="U43" s="31" t="n"/>
      <c r="V43" s="31" t="n"/>
      <c r="W43" s="31" t="n"/>
      <c r="X43" s="75" t="n"/>
      <c r="Y43" s="50" t="n"/>
    </row>
    <row r="44">
      <c r="B44" s="49" t="n"/>
      <c r="C44" s="97" t="n"/>
      <c r="D44" s="74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120" t="n"/>
      <c r="N44" s="45" t="n"/>
      <c r="O44" s="12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75" t="n"/>
      <c r="Y44" s="50" t="n"/>
    </row>
    <row r="45">
      <c r="B45" s="49" t="n"/>
      <c r="C45" s="97" t="n"/>
      <c r="D45" s="74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120" t="n"/>
      <c r="N45" s="45" t="n"/>
      <c r="O45" s="12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75" t="n"/>
      <c r="Y45" s="50" t="n"/>
    </row>
    <row r="46">
      <c r="B46" s="49" t="n"/>
      <c r="C46" s="97" t="n"/>
      <c r="D46" s="74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120" t="n"/>
      <c r="N46" s="45" t="n"/>
      <c r="O46" s="12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75" t="n"/>
      <c r="Y46" s="50" t="n"/>
    </row>
    <row r="47">
      <c r="B47" s="49" t="n"/>
      <c r="C47" s="97" t="n"/>
      <c r="D47" s="74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120" t="n"/>
      <c r="N47" s="45" t="n"/>
      <c r="O47" s="12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75" t="n"/>
      <c r="Y47" s="50" t="n"/>
    </row>
    <row r="48">
      <c r="B48" s="49" t="n"/>
      <c r="C48" s="97" t="n"/>
      <c r="D48" s="74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120" t="n"/>
      <c r="N48" s="45" t="n"/>
      <c r="O48" s="12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75" t="n"/>
      <c r="Y48" s="50" t="n"/>
    </row>
    <row r="49">
      <c r="B49" s="49" t="n"/>
      <c r="C49" s="97" t="n"/>
      <c r="D49" s="74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120" t="n"/>
      <c r="N49" s="45" t="n"/>
      <c r="O49" s="12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75" t="n"/>
      <c r="Y49" s="50" t="n"/>
    </row>
    <row r="50">
      <c r="B50" s="49" t="n"/>
      <c r="C50" s="97" t="n"/>
      <c r="D50" s="74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120" t="n"/>
      <c r="N50" s="45" t="n"/>
      <c r="O50" s="12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75" t="n"/>
      <c r="Y50" s="50" t="n"/>
    </row>
    <row r="51">
      <c r="B51" s="49" t="n"/>
      <c r="C51" s="97" t="n"/>
      <c r="D51" s="74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120" t="n"/>
      <c r="N51" s="45" t="n"/>
      <c r="O51" s="12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75" t="n"/>
      <c r="Y51" s="50" t="n"/>
    </row>
    <row r="52">
      <c r="B52" s="49" t="n"/>
      <c r="C52" s="97" t="n"/>
      <c r="D52" s="74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120" t="n"/>
      <c r="N52" s="45" t="n"/>
      <c r="O52" s="12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75" t="n"/>
      <c r="Y52" s="50" t="n"/>
    </row>
    <row r="53">
      <c r="B53" s="49" t="n"/>
      <c r="C53" s="97" t="n"/>
      <c r="D53" s="74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120" t="n"/>
      <c r="N53" s="45" t="n"/>
      <c r="O53" s="12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75" t="n"/>
      <c r="Y53" s="50" t="n"/>
    </row>
    <row r="54">
      <c r="B54" s="49" t="n"/>
      <c r="C54" s="97" t="n"/>
      <c r="D54" s="74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120" t="n"/>
      <c r="N54" s="45" t="n"/>
      <c r="O54" s="12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75" t="n"/>
      <c r="Y54" s="50" t="n"/>
    </row>
    <row r="55">
      <c r="B55" s="49" t="n"/>
      <c r="C55" s="97" t="n"/>
      <c r="D55" s="74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120" t="n"/>
      <c r="N55" s="45" t="n"/>
      <c r="O55" s="12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75" t="n"/>
      <c r="Y55" s="50" t="n"/>
    </row>
    <row r="56">
      <c r="B56" s="49" t="n"/>
      <c r="C56" s="97" t="n"/>
      <c r="D56" s="74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120" t="n"/>
      <c r="N56" s="45" t="n"/>
      <c r="O56" s="12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75" t="n"/>
      <c r="Y56" s="50" t="n"/>
    </row>
    <row r="57">
      <c r="B57" s="49" t="n"/>
      <c r="C57" s="97" t="n"/>
      <c r="D57" s="74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120" t="n"/>
      <c r="N57" s="45" t="n"/>
      <c r="O57" s="12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75" t="n"/>
      <c r="Y57" s="50" t="n"/>
    </row>
    <row r="58">
      <c r="B58" s="49" t="n"/>
      <c r="C58" s="97" t="n"/>
      <c r="D58" s="74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120" t="n"/>
      <c r="N58" s="45" t="n"/>
      <c r="O58" s="12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75" t="n"/>
      <c r="Y58" s="50" t="n"/>
    </row>
    <row r="59" ht="18.95" customHeight="1" thickBot="1">
      <c r="B59" s="49" t="n"/>
      <c r="C59" s="97" t="n"/>
      <c r="D59" s="79" t="n"/>
      <c r="E59" s="122" t="n"/>
      <c r="F59" s="122" t="n"/>
      <c r="G59" s="122" t="n"/>
      <c r="H59" s="122" t="n"/>
      <c r="I59" s="122" t="n"/>
      <c r="J59" s="122" t="n"/>
      <c r="K59" s="122" t="n"/>
      <c r="L59" s="122" t="n"/>
      <c r="M59" s="123" t="n"/>
      <c r="N59" s="80" t="n"/>
      <c r="O59" s="124" t="n"/>
      <c r="P59" s="122" t="n"/>
      <c r="Q59" s="122" t="n"/>
      <c r="R59" s="122" t="n"/>
      <c r="S59" s="122" t="n"/>
      <c r="T59" s="122" t="n"/>
      <c r="U59" s="122" t="n"/>
      <c r="V59" s="122" t="n"/>
      <c r="W59" s="122" t="n"/>
      <c r="X59" s="81" t="n"/>
      <c r="Y59" s="50" t="n"/>
    </row>
  </sheetData>
  <mergeCells count="14">
    <mergeCell ref="S26:S38"/>
    <mergeCell ref="I3:M3"/>
    <mergeCell ref="I26:I38"/>
    <mergeCell ref="E41:M41"/>
    <mergeCell ref="O3:S3"/>
    <mergeCell ref="E8:E38"/>
    <mergeCell ref="I8:I21"/>
    <mergeCell ref="S8:S21"/>
    <mergeCell ref="O41:W41"/>
    <mergeCell ref="W8:W38"/>
    <mergeCell ref="O43:W59"/>
    <mergeCell ref="E43:M59"/>
    <mergeCell ref="M6:O6"/>
    <mergeCell ref="M8:O38"/>
  </mergeCells>
  <printOptions horizontalCentered="1" verticalCentered="1"/>
  <pageMargins left="0" right="0" top="0" bottom="0" header="0.3149606299212598" footer="0.3149606299212598"/>
  <pageSetup orientation="portrait" paperSize="9" scale="60"/>
</worksheet>
</file>

<file path=xl/worksheets/sheet2.xml><?xml version="1.0" encoding="utf-8"?>
<worksheet xmlns="http://schemas.openxmlformats.org/spreadsheetml/2006/main">
  <sheetPr codeName="Hoja28">
    <tabColor indexed="23"/>
    <outlinePr summaryBelow="1" summaryRight="1"/>
    <pageSetUpPr/>
  </sheetPr>
  <dimension ref="B1:P73"/>
  <sheetViews>
    <sheetView workbookViewId="0">
      <selection activeCell="K19" sqref="K19"/>
    </sheetView>
  </sheetViews>
  <sheetFormatPr baseColWidth="8" defaultColWidth="11.42578125" defaultRowHeight="12.6"/>
  <cols>
    <col collapsed="1" width="16" customWidth="1" min="2" max="2"/>
    <col collapsed="1" width="12.5703125" bestFit="1" customWidth="1" min="3" max="3"/>
    <col collapsed="1" width="11.5703125" customWidth="1" min="5" max="5"/>
  </cols>
  <sheetData>
    <row r="1" ht="13.5" customHeight="1">
      <c r="C1" s="25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</row>
    <row r="2" ht="15" customHeight="1">
      <c r="B2" s="110" t="inlineStr">
        <is>
          <t>NO BORRAR NI OCULTAR</t>
        </is>
      </c>
      <c r="I2" s="24" t="n"/>
      <c r="J2" s="24" t="n"/>
      <c r="K2" s="24" t="n"/>
      <c r="L2" s="24" t="n"/>
      <c r="M2" s="24" t="n"/>
      <c r="N2" s="24" t="n"/>
      <c r="O2" s="24" t="n"/>
      <c r="P2" s="24" t="n"/>
    </row>
    <row r="7">
      <c r="B7" s="34" t="inlineStr">
        <is>
          <t>INTENSIDAD</t>
        </is>
      </c>
    </row>
    <row r="8">
      <c r="B8" s="35" t="n">
        <v>1</v>
      </c>
    </row>
    <row r="9">
      <c r="B9" s="35" t="n">
        <v>2</v>
      </c>
    </row>
    <row r="10">
      <c r="B10" s="35" t="n">
        <v>3</v>
      </c>
    </row>
    <row r="11">
      <c r="B11" s="35" t="n">
        <v>4</v>
      </c>
    </row>
    <row r="12">
      <c r="B12" s="37" t="n">
        <v>5</v>
      </c>
    </row>
    <row r="14">
      <c r="B14" s="38" t="inlineStr">
        <is>
          <t>AMENAZARAS</t>
        </is>
      </c>
      <c r="E14" s="32" t="n"/>
      <c r="F14" s="32" t="n"/>
      <c r="G14" s="33" t="inlineStr">
        <is>
          <t xml:space="preserve"> ANÁLISIS de POSICIÓN (DAFO)</t>
        </is>
      </c>
      <c r="H14" s="32" t="n"/>
      <c r="I14" s="32" t="n"/>
    </row>
    <row r="15">
      <c r="B15" s="35">
        <f>B8</f>
        <v/>
      </c>
      <c r="E15" s="32" t="n"/>
      <c r="F15" s="32" t="n"/>
      <c r="G15" s="39">
        <f>#REF!</f>
        <v/>
      </c>
      <c r="H15" s="32" t="n"/>
      <c r="I15" s="32" t="n"/>
    </row>
    <row r="16">
      <c r="B16" s="36">
        <f>B12</f>
        <v/>
      </c>
      <c r="E16" s="32" t="n"/>
      <c r="F16" s="32" t="n"/>
      <c r="G16" s="39">
        <f>#REF!</f>
        <v/>
      </c>
      <c r="H16" s="32" t="n"/>
      <c r="I16" s="32" t="n"/>
    </row>
    <row r="17">
      <c r="E17" s="32" t="n"/>
      <c r="F17" s="32" t="n"/>
      <c r="G17" s="40" t="n"/>
      <c r="H17" s="32" t="n"/>
      <c r="I17" s="32" t="n"/>
    </row>
    <row r="18">
      <c r="B18" s="38" t="inlineStr">
        <is>
          <t>POSITION</t>
        </is>
      </c>
    </row>
    <row r="19">
      <c r="B19" s="35" t="n">
        <v>1</v>
      </c>
    </row>
    <row r="20">
      <c r="B20" s="35" t="n">
        <v>2</v>
      </c>
    </row>
    <row r="21">
      <c r="B21" s="35" t="n">
        <v>3</v>
      </c>
    </row>
    <row r="22">
      <c r="B22" s="37" t="n">
        <v>4</v>
      </c>
    </row>
    <row r="26">
      <c r="C26" s="125" t="n"/>
    </row>
    <row r="29">
      <c r="C29" s="42" t="n"/>
    </row>
    <row r="30">
      <c r="C30" s="42" t="n"/>
    </row>
    <row r="31">
      <c r="C31" s="42" t="n"/>
    </row>
    <row r="32">
      <c r="C32" s="42" t="n"/>
    </row>
    <row r="33">
      <c r="C33" s="42" t="n"/>
    </row>
    <row r="34">
      <c r="C34" s="42" t="n"/>
    </row>
    <row r="35">
      <c r="C35" s="42" t="n"/>
    </row>
    <row r="36">
      <c r="C36" s="42" t="n"/>
    </row>
    <row r="37">
      <c r="C37" s="42" t="n"/>
    </row>
    <row r="38">
      <c r="C38" s="42" t="n"/>
    </row>
    <row r="39">
      <c r="C39" s="42" t="n"/>
    </row>
    <row r="40">
      <c r="C40" s="42" t="n"/>
    </row>
    <row r="41">
      <c r="C41" s="42" t="n"/>
    </row>
    <row r="42">
      <c r="C42" s="42" t="n"/>
    </row>
    <row r="43">
      <c r="C43" s="42" t="n"/>
    </row>
    <row r="44">
      <c r="C44" s="42" t="n"/>
    </row>
    <row r="45">
      <c r="C45" s="42" t="n"/>
    </row>
    <row r="46">
      <c r="C46" s="42" t="n"/>
    </row>
    <row r="47">
      <c r="C47" s="42" t="n"/>
    </row>
    <row r="48">
      <c r="C48" s="42" t="n"/>
    </row>
    <row r="49">
      <c r="C49" s="42" t="n"/>
    </row>
    <row r="50">
      <c r="C50" s="42" t="n"/>
    </row>
    <row r="51">
      <c r="C51" s="42" t="n"/>
    </row>
    <row r="52">
      <c r="C52" s="42" t="n"/>
    </row>
    <row r="53">
      <c r="C53" s="42" t="n"/>
    </row>
    <row r="54">
      <c r="C54" s="42" t="n"/>
    </row>
    <row r="55">
      <c r="C55" s="42" t="n"/>
    </row>
    <row r="56">
      <c r="C56" s="42" t="n"/>
    </row>
    <row r="57">
      <c r="C57" s="42" t="n"/>
    </row>
    <row r="58">
      <c r="C58" s="42" t="n"/>
    </row>
    <row r="59">
      <c r="C59" s="42" t="n"/>
    </row>
    <row r="60">
      <c r="C60" s="42" t="n"/>
    </row>
    <row r="61">
      <c r="C61" s="42" t="n"/>
    </row>
    <row r="62">
      <c r="C62" s="42" t="n"/>
    </row>
    <row r="63">
      <c r="C63" s="42" t="n"/>
    </row>
    <row r="64">
      <c r="C64" s="42" t="n"/>
    </row>
    <row r="65">
      <c r="C65" s="42" t="n"/>
    </row>
    <row r="66">
      <c r="C66" s="42" t="n"/>
    </row>
    <row r="67">
      <c r="C67" s="42" t="n"/>
    </row>
    <row r="68">
      <c r="C68" s="42" t="n"/>
    </row>
    <row r="69">
      <c r="C69" s="42" t="n"/>
    </row>
    <row r="70">
      <c r="C70" s="42" t="n"/>
    </row>
    <row r="71">
      <c r="C71" s="42" t="n"/>
    </row>
    <row r="72">
      <c r="C72" s="42" t="n"/>
    </row>
    <row r="73">
      <c r="C73" s="42" t="n"/>
    </row>
  </sheetData>
  <mergeCells count="1">
    <mergeCell ref="B2:F2"/>
  </mergeCells>
  <pageMargins left="0.75" right="0.75" top="1" bottom="1" header="0" footer="0"/>
</worksheet>
</file>

<file path=xl/worksheets/sheet3.xml><?xml version="1.0" encoding="utf-8"?>
<worksheet xmlns="http://schemas.openxmlformats.org/spreadsheetml/2006/main">
  <sheetPr codeName="Hoja29">
    <tabColor indexed="8"/>
    <outlinePr summaryBelow="1" summaryRight="1"/>
    <pageSetUpPr/>
  </sheetPr>
  <dimension ref="A2:N55"/>
  <sheetViews>
    <sheetView showGridLines="0" showRowColHeaders="0" showZeros="0" showOutlineSymbols="0" topLeftCell="A33" workbookViewId="0">
      <pane xSplit="77" ySplit="194" topLeftCell="BZ227" activePane="bottomRight" state="frozen"/>
      <selection pane="bottomRight" activeCell="J55" sqref="J55"/>
      <selection pane="bottomLeft" activeCell="A183" sqref="A183"/>
      <selection pane="topRight" activeCell="BJ33" sqref="BJ33"/>
    </sheetView>
  </sheetViews>
  <sheetFormatPr baseColWidth="8" defaultColWidth="11.42578125" defaultRowHeight="12.6"/>
  <sheetData>
    <row r="1" hidden="1" ht="12.95" customHeight="1" thickBot="1"/>
    <row r="2" hidden="1">
      <c r="A2" s="28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30" t="n"/>
    </row>
    <row r="3" hidden="1" ht="15" customHeight="1">
      <c r="A3" s="1" t="n"/>
      <c r="B3" s="26" t="inlineStr">
        <is>
          <t>LOCALIZAR MES</t>
        </is>
      </c>
      <c r="C3" s="2" t="n"/>
      <c r="D3" s="3" t="inlineStr">
        <is>
          <t>Poniendo el primer mes en el índice, se desarrollan los demás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4" t="n"/>
    </row>
    <row r="4" hidden="1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idden="1">
      <c r="A5" s="5" t="n"/>
      <c r="B5" s="117">
        <f>$F$12</f>
        <v/>
      </c>
      <c r="C5" s="117">
        <f>+G14</f>
        <v/>
      </c>
      <c r="D5" s="117">
        <f>+G15</f>
        <v/>
      </c>
      <c r="E5" s="117">
        <f>+G16</f>
        <v/>
      </c>
      <c r="F5" s="117">
        <f>+G17</f>
        <v/>
      </c>
      <c r="G5" s="117">
        <f>+G18</f>
        <v/>
      </c>
      <c r="H5" s="117">
        <f>+G19</f>
        <v/>
      </c>
      <c r="I5" s="117">
        <f>+G20</f>
        <v/>
      </c>
      <c r="J5" s="117">
        <f>+G21</f>
        <v/>
      </c>
      <c r="K5" s="117">
        <f>+G22</f>
        <v/>
      </c>
      <c r="L5" s="117">
        <f>+G23</f>
        <v/>
      </c>
      <c r="M5" s="117">
        <f>+G24</f>
        <v/>
      </c>
      <c r="N5" s="7" t="n"/>
    </row>
    <row r="6" hidden="1">
      <c r="A6" s="5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idden="1">
      <c r="A7" s="5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idden="1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</row>
    <row r="9" hidden="1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7" t="n"/>
    </row>
    <row r="10" hidden="1">
      <c r="A10" s="8" t="n"/>
      <c r="B10" s="6" t="inlineStr">
        <is>
          <t>LISTA</t>
        </is>
      </c>
      <c r="C10" s="6" t="n"/>
      <c r="D10" s="126" t="inlineStr">
        <is>
          <t>RANGOS</t>
        </is>
      </c>
      <c r="E10" s="127" t="n"/>
      <c r="F10" s="6" t="n"/>
      <c r="G10" s="6" t="n"/>
      <c r="H10" s="6" t="n"/>
      <c r="I10" s="6" t="n"/>
      <c r="J10" s="6" t="n"/>
      <c r="K10" s="6" t="n"/>
      <c r="L10" s="6" t="n"/>
      <c r="M10" s="6" t="n"/>
      <c r="N10" s="7" t="n"/>
    </row>
    <row r="11" hidden="1">
      <c r="A11" s="8" t="n"/>
      <c r="B11" s="6" t="n"/>
      <c r="C11" s="6" t="n"/>
      <c r="D11" s="9" t="n"/>
      <c r="E11" s="114" t="inlineStr">
        <is>
          <t>SELECCIÓN MESES</t>
        </is>
      </c>
      <c r="F11" s="128" t="n"/>
      <c r="G11" s="128" t="n"/>
      <c r="H11" s="129" t="n"/>
      <c r="I11" s="10" t="n"/>
      <c r="J11" s="10" t="n"/>
      <c r="K11" s="10" t="n"/>
      <c r="L11" s="10" t="n"/>
      <c r="M11" s="10" t="n"/>
      <c r="N11" s="11" t="n"/>
    </row>
    <row r="12" hidden="1">
      <c r="A12" s="5" t="n"/>
      <c r="B12" s="12" t="inlineStr">
        <is>
          <t>nomeses</t>
        </is>
      </c>
      <c r="C12" s="6" t="n"/>
      <c r="D12" s="13" t="inlineStr">
        <is>
          <t xml:space="preserve"> NUMES</t>
        </is>
      </c>
      <c r="E12" s="6" t="inlineStr">
        <is>
          <t>BUSCARMES</t>
        </is>
      </c>
      <c r="F12" s="14">
        <f>#REF!</f>
        <v/>
      </c>
      <c r="G12" s="6" t="n"/>
      <c r="H12" s="15" t="n"/>
      <c r="I12" s="6" t="n"/>
      <c r="J12" s="6" t="n"/>
      <c r="K12" s="6" t="n"/>
      <c r="L12" s="6" t="n"/>
      <c r="M12" s="6" t="n"/>
      <c r="N12" s="7" t="n"/>
    </row>
    <row r="13" hidden="1">
      <c r="A13" s="5" t="n"/>
      <c r="B13" s="10" t="inlineStr">
        <is>
          <t>Enero</t>
        </is>
      </c>
      <c r="C13" s="6" t="n"/>
      <c r="D13" s="16" t="n">
        <v>1</v>
      </c>
      <c r="E13" s="16">
        <f>B13</f>
        <v/>
      </c>
      <c r="F13" s="6">
        <f>IF(F$12=$B$13,1,0)+IF(F$12=$B$14,2,0)+IF(F$12=$B$15,3,0)+IF(F$12=$B$16,4,0)+IF(F$12=$B$17,5,0)+IF(F$12=$B$18,6,0)+IF(F$12=$B$19,7,0)+IF(F$12=$B$20,8,0)+IF(F$12=$B$21,9,0)+IF(F$12=$B$22,10,0)+IF(F$12=$B$23,11,0)+IF(F$12=$B$24,12,0)</f>
        <v/>
      </c>
      <c r="G13" s="6" t="n"/>
      <c r="H13" s="15" t="n"/>
      <c r="I13" s="6" t="n"/>
      <c r="J13" s="6" t="n"/>
      <c r="K13" s="6" t="n"/>
      <c r="L13" s="6" t="n"/>
      <c r="M13" s="6" t="n"/>
      <c r="N13" s="7" t="n"/>
    </row>
    <row r="14" hidden="1">
      <c r="A14" s="5" t="n"/>
      <c r="B14" s="10" t="inlineStr">
        <is>
          <t>Febrero</t>
        </is>
      </c>
      <c r="C14" s="6" t="n"/>
      <c r="D14" s="17" t="n">
        <v>2</v>
      </c>
      <c r="E14" s="17">
        <f>B14</f>
        <v/>
      </c>
      <c r="F14" s="6">
        <f>IF(F13=12,1,F13+1)</f>
        <v/>
      </c>
      <c r="G14" s="6">
        <f>LOOKUP(F14,NUMES,BUSCARMES)</f>
        <v/>
      </c>
      <c r="H14" s="15" t="n"/>
      <c r="I14" s="6" t="n"/>
      <c r="J14" s="6" t="n"/>
      <c r="K14" s="6" t="n"/>
      <c r="L14" s="6" t="n"/>
      <c r="M14" s="6" t="n"/>
      <c r="N14" s="7" t="n"/>
    </row>
    <row r="15" hidden="1">
      <c r="A15" s="5" t="n"/>
      <c r="B15" s="10" t="inlineStr">
        <is>
          <t>Marzo</t>
        </is>
      </c>
      <c r="C15" s="6" t="n"/>
      <c r="D15" s="17" t="n">
        <v>3</v>
      </c>
      <c r="E15" s="17">
        <f>B15</f>
        <v/>
      </c>
      <c r="F15" s="6">
        <f>IF(F14=12,1,F14+1)</f>
        <v/>
      </c>
      <c r="G15" s="6">
        <f>LOOKUP(F15,NUMES,BUSCARMES)</f>
        <v/>
      </c>
      <c r="H15" s="15" t="n"/>
      <c r="I15" s="6" t="n"/>
      <c r="J15" s="6" t="n"/>
      <c r="K15" s="6" t="n"/>
      <c r="L15" s="6" t="n"/>
      <c r="M15" s="6" t="n"/>
      <c r="N15" s="7" t="n"/>
    </row>
    <row r="16" hidden="1">
      <c r="A16" s="5" t="n"/>
      <c r="B16" s="10" t="inlineStr">
        <is>
          <t>Abril</t>
        </is>
      </c>
      <c r="C16" s="6" t="n"/>
      <c r="D16" s="17" t="n">
        <v>4</v>
      </c>
      <c r="E16" s="17">
        <f>B16</f>
        <v/>
      </c>
      <c r="F16" s="6">
        <f>IF(F15=12,1,F15+1)</f>
        <v/>
      </c>
      <c r="G16" s="6">
        <f>LOOKUP(F16,NUMES,BUSCARMES)</f>
        <v/>
      </c>
      <c r="H16" s="15" t="n"/>
      <c r="I16" s="6" t="n"/>
      <c r="J16" s="6" t="n"/>
      <c r="K16" s="6" t="n"/>
      <c r="L16" s="6" t="n"/>
      <c r="M16" s="6" t="n"/>
      <c r="N16" s="7" t="n"/>
    </row>
    <row r="17" hidden="1">
      <c r="A17" s="5" t="n"/>
      <c r="B17" s="10" t="inlineStr">
        <is>
          <t>Mayo</t>
        </is>
      </c>
      <c r="C17" s="6" t="n"/>
      <c r="D17" s="17" t="n">
        <v>5</v>
      </c>
      <c r="E17" s="17">
        <f>B17</f>
        <v/>
      </c>
      <c r="F17" s="6">
        <f>IF(F16=12,1,F16+1)</f>
        <v/>
      </c>
      <c r="G17" s="6">
        <f>LOOKUP(F17,NUMES,BUSCARMES)</f>
        <v/>
      </c>
      <c r="H17" s="15" t="n"/>
      <c r="I17" s="6" t="n"/>
      <c r="J17" s="6" t="n"/>
      <c r="K17" s="6" t="n"/>
      <c r="L17" s="6" t="n"/>
      <c r="M17" s="6" t="n"/>
      <c r="N17" s="7" t="n"/>
    </row>
    <row r="18" hidden="1">
      <c r="A18" s="5" t="n"/>
      <c r="B18" s="10" t="inlineStr">
        <is>
          <t>Junio</t>
        </is>
      </c>
      <c r="C18" s="6" t="n"/>
      <c r="D18" s="17" t="n">
        <v>6</v>
      </c>
      <c r="E18" s="17">
        <f>B18</f>
        <v/>
      </c>
      <c r="F18" s="6">
        <f>IF(F17=12,1,F17+1)</f>
        <v/>
      </c>
      <c r="G18" s="6">
        <f>LOOKUP(F18,NUMES,BUSCARMES)</f>
        <v/>
      </c>
      <c r="H18" s="15" t="n"/>
      <c r="I18" s="6" t="n"/>
      <c r="J18" s="6" t="n"/>
      <c r="K18" s="6" t="n"/>
      <c r="L18" s="6" t="n"/>
      <c r="M18" s="6" t="n"/>
      <c r="N18" s="7" t="n"/>
    </row>
    <row r="19" hidden="1">
      <c r="A19" s="5" t="n"/>
      <c r="B19" s="10" t="inlineStr">
        <is>
          <t>Julio</t>
        </is>
      </c>
      <c r="C19" s="6" t="n"/>
      <c r="D19" s="17" t="n">
        <v>7</v>
      </c>
      <c r="E19" s="17">
        <f>B19</f>
        <v/>
      </c>
      <c r="F19" s="6">
        <f>IF(F18=12,1,F18+1)</f>
        <v/>
      </c>
      <c r="G19" s="6">
        <f>LOOKUP(F19,NUMES,BUSCARMES)</f>
        <v/>
      </c>
      <c r="H19" s="15" t="n"/>
      <c r="I19" s="6" t="n"/>
      <c r="J19" s="6" t="n"/>
      <c r="K19" s="6" t="n"/>
      <c r="L19" s="6" t="n"/>
      <c r="M19" s="6" t="n"/>
      <c r="N19" s="7" t="n"/>
    </row>
    <row r="20" hidden="1">
      <c r="A20" s="5" t="n"/>
      <c r="B20" s="10" t="inlineStr">
        <is>
          <t>Agosto</t>
        </is>
      </c>
      <c r="C20" s="6" t="n"/>
      <c r="D20" s="17" t="n">
        <v>8</v>
      </c>
      <c r="E20" s="17">
        <f>B20</f>
        <v/>
      </c>
      <c r="F20" s="6">
        <f>IF(F19=12,1,F19+1)</f>
        <v/>
      </c>
      <c r="G20" s="6">
        <f>LOOKUP(F20,NUMES,BUSCARMES)</f>
        <v/>
      </c>
      <c r="H20" s="15" t="n"/>
      <c r="I20" s="6" t="n"/>
      <c r="J20" s="6" t="n"/>
      <c r="K20" s="6" t="n"/>
      <c r="L20" s="6" t="n"/>
      <c r="M20" s="6" t="n"/>
      <c r="N20" s="7" t="n"/>
    </row>
    <row r="21" hidden="1">
      <c r="A21" s="5" t="n"/>
      <c r="B21" s="10" t="inlineStr">
        <is>
          <t>Septiembre</t>
        </is>
      </c>
      <c r="C21" s="6" t="n"/>
      <c r="D21" s="17" t="n">
        <v>9</v>
      </c>
      <c r="E21" s="17">
        <f>B21</f>
        <v/>
      </c>
      <c r="F21" s="6">
        <f>IF(F20=12,1,F20+1)</f>
        <v/>
      </c>
      <c r="G21" s="6">
        <f>LOOKUP(F21,NUMES,BUSCARMES)</f>
        <v/>
      </c>
      <c r="H21" s="15" t="n"/>
      <c r="I21" s="6" t="n"/>
      <c r="J21" s="6" t="n"/>
      <c r="K21" s="6" t="n"/>
      <c r="L21" s="6" t="n"/>
      <c r="M21" s="6" t="n"/>
      <c r="N21" s="7" t="n"/>
    </row>
    <row r="22" hidden="1">
      <c r="A22" s="5" t="n"/>
      <c r="B22" s="10" t="inlineStr">
        <is>
          <t>Octubre</t>
        </is>
      </c>
      <c r="C22" s="6" t="n"/>
      <c r="D22" s="17" t="n">
        <v>10</v>
      </c>
      <c r="E22" s="17">
        <f>B22</f>
        <v/>
      </c>
      <c r="F22" s="6">
        <f>IF(F21=12,1,F21+1)</f>
        <v/>
      </c>
      <c r="G22" s="6">
        <f>LOOKUP(F22,NUMES,BUSCARMES)</f>
        <v/>
      </c>
      <c r="H22" s="15" t="n"/>
      <c r="I22" s="6" t="n"/>
      <c r="J22" s="6" t="n"/>
      <c r="K22" s="6" t="n"/>
      <c r="L22" s="6" t="n"/>
      <c r="M22" s="6" t="n"/>
      <c r="N22" s="7" t="n"/>
    </row>
    <row r="23" hidden="1">
      <c r="A23" s="8" t="n"/>
      <c r="B23" s="10" t="inlineStr">
        <is>
          <t>Noviembre</t>
        </is>
      </c>
      <c r="C23" s="6" t="n"/>
      <c r="D23" s="17" t="n">
        <v>11</v>
      </c>
      <c r="E23" s="17">
        <f>B23</f>
        <v/>
      </c>
      <c r="F23" s="6">
        <f>IF(F22=12,1,F22+1)</f>
        <v/>
      </c>
      <c r="G23" s="6">
        <f>LOOKUP(F23,NUMES,BUSCARMES)</f>
        <v/>
      </c>
      <c r="H23" s="15" t="n"/>
      <c r="I23" s="6" t="n"/>
      <c r="J23" s="6" t="n"/>
      <c r="K23" s="6" t="n"/>
      <c r="L23" s="6" t="n"/>
      <c r="M23" s="6" t="n"/>
      <c r="N23" s="7" t="n"/>
    </row>
    <row r="24" hidden="1">
      <c r="A24" s="8" t="n"/>
      <c r="B24" s="10" t="inlineStr">
        <is>
          <t>Diciembre</t>
        </is>
      </c>
      <c r="C24" s="6" t="n"/>
      <c r="D24" s="18" t="n">
        <v>12</v>
      </c>
      <c r="E24" s="18">
        <f>B24</f>
        <v/>
      </c>
      <c r="F24" s="19">
        <f>IF(F23=12,1,F23+1)</f>
        <v/>
      </c>
      <c r="G24" s="19">
        <f>LOOKUP(F24,NUMES,BUSCARMES)</f>
        <v/>
      </c>
      <c r="H24" s="20" t="n"/>
      <c r="I24" s="6" t="n"/>
      <c r="J24" s="6" t="n"/>
      <c r="K24" s="6" t="n"/>
      <c r="L24" s="6" t="n"/>
      <c r="M24" s="6" t="n"/>
      <c r="N24" s="7" t="n"/>
    </row>
    <row r="25" hidden="1" ht="12.95" customHeight="1" thickBot="1">
      <c r="A25" s="21" t="n"/>
      <c r="B25" s="27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3" t="n"/>
    </row>
    <row r="26" hidden="1"/>
    <row r="27" hidden="1"/>
    <row r="28" hidden="1"/>
    <row r="29" hidden="1"/>
    <row r="30" hidden="1"/>
    <row r="31" hidden="1"/>
    <row r="32" hidden="1"/>
    <row r="33"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</row>
    <row r="34"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</row>
    <row r="35"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</row>
    <row r="36"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</row>
    <row r="37"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</row>
    <row r="38"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</row>
    <row r="39"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</row>
    <row r="40">
      <c r="I40" s="31" t="n"/>
      <c r="J40" s="31" t="n"/>
      <c r="K40" s="31" t="n"/>
    </row>
    <row r="41">
      <c r="I41" s="31" t="n"/>
      <c r="J41" s="31" t="n"/>
      <c r="K41" s="31" t="n"/>
    </row>
    <row r="42">
      <c r="I42" s="31" t="n"/>
      <c r="J42" s="31" t="n"/>
      <c r="K42" s="31" t="n"/>
    </row>
    <row r="43">
      <c r="I43" s="31" t="n"/>
      <c r="J43" s="31" t="n"/>
      <c r="K43" s="31" t="n"/>
    </row>
    <row r="44">
      <c r="I44" s="31" t="n"/>
      <c r="J44" s="31" t="n"/>
      <c r="K44" s="31" t="n"/>
    </row>
    <row r="45">
      <c r="I45" s="31" t="n"/>
      <c r="J45" s="31" t="n"/>
      <c r="K45" s="31" t="n"/>
    </row>
    <row r="46">
      <c r="I46" s="31" t="n"/>
      <c r="J46" s="31" t="n"/>
      <c r="K46" s="31" t="n"/>
    </row>
    <row r="47">
      <c r="I47" s="31" t="n"/>
      <c r="J47" s="31" t="n"/>
      <c r="K47" s="31" t="n"/>
    </row>
    <row r="48">
      <c r="I48" s="31" t="n"/>
      <c r="J48" s="31" t="n"/>
      <c r="K48" s="31" t="n"/>
    </row>
    <row r="49">
      <c r="I49" s="31" t="n"/>
      <c r="J49" s="31" t="n"/>
      <c r="K49" s="31" t="n"/>
    </row>
    <row r="50">
      <c r="I50" s="31" t="n"/>
      <c r="J50" s="31" t="n"/>
      <c r="K50" s="31" t="n"/>
    </row>
    <row r="51">
      <c r="I51" s="31" t="n"/>
      <c r="J51" s="31" t="n"/>
      <c r="K51" s="31" t="n"/>
    </row>
    <row r="52">
      <c r="B52" s="31" t="n"/>
      <c r="C52" s="130" t="n"/>
      <c r="D52" s="31" t="n"/>
      <c r="E52" s="31" t="n"/>
      <c r="F52" s="31" t="n"/>
      <c r="G52" s="31" t="n"/>
      <c r="H52" s="31" t="n"/>
      <c r="I52" s="31" t="n"/>
      <c r="J52" s="31" t="n"/>
      <c r="K52" s="31" t="n"/>
    </row>
    <row r="53"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</row>
    <row r="54"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</row>
    <row r="55"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</row>
  </sheetData>
  <mergeCells count="3">
    <mergeCell ref="C52:F52"/>
    <mergeCell ref="E11:H11"/>
    <mergeCell ref="D10:E10"/>
  </mergeCells>
  <pageMargins left="0.75" right="0.75" top="1" bottom="1" header="0" footer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e.ditor consulting s.l.</dc:creator>
  <dc:subject>PE277G</dc:subject>
  <dcterms:created xsi:type="dcterms:W3CDTF">2011-05-31T13:53:54Z</dcterms:created>
  <dcterms:modified xsi:type="dcterms:W3CDTF">2026-09-10T02:10:07Z</dcterms:modified>
  <cp:keywords>analisis estrategico; estrategia empresa; matrices analisis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0x0101004AF540B87A799B488F5C89AEB2DAB0F8</vt:lpwstr>
  </property>
</Properties>
</file>